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2"/>
    <sheet name="每周打卡" sheetId="2" state="visible" r:id="rId3"/>
    <sheet name="复现记录" sheetId="3" state="visible" r:id="rId4"/>
    <sheet name="里程碑" sheetId="4" state="visible" r:id="rId5"/>
    <sheet name="学习资料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<sst xmlns="http://schemas.openxmlformats.org/spreadsheetml/2006/main" count="498" uniqueCount="338">
  <si>
    <t xml:space="preserve">阶段</t>
  </si>
  <si>
    <t xml:space="preserve">周次</t>
  </si>
  <si>
    <t xml:space="preserve">主题</t>
  </si>
  <si>
    <t xml:space="preserve">关键任务</t>
  </si>
  <si>
    <t xml:space="preserve">验收标准</t>
  </si>
  <si>
    <t xml:space="preserve">状态</t>
  </si>
  <si>
    <t xml:space="preserve">实际完成日期</t>
  </si>
  <si>
    <t xml:space="preserve">备注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</si>
  <si>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Noto Sans SC"/>
        <family val="2"/>
        <charset val="1"/>
      </rPr>
      <t xml:space="preserve">环境救火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</si>
  <si>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  <charset val="1"/>
      </rPr>
      <t xml:space="preserve">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一次性</t>
    </r>
    <r>
      <rPr>
        <sz val="11"/>
        <color rgb="FF000000"/>
        <rFont val="Calibri"/>
        <family val="2"/>
        <charset val="1"/>
      </rPr>
      <t xml:space="preserve">)</t>
    </r>
  </si>
  <si>
    <t xml:space="preserve">环境救火（进行中）</t>
  </si>
  <si>
    <r>
      <rPr>
        <sz val="11"/>
        <color rgb="FF000000"/>
        <rFont val="Noto Sans SC"/>
        <family val="2"/>
        <charset val="1"/>
      </rPr>
      <t xml:space="preserve">装 </t>
    </r>
    <r>
      <rPr>
        <sz val="11"/>
        <color rgb="FF000000"/>
        <rFont val="Calibri"/>
        <family val="2"/>
        <charset val="1"/>
      </rPr>
      <t xml:space="preserve">NVIDIA </t>
    </r>
    <r>
      <rPr>
        <sz val="11"/>
        <color rgb="FF000000"/>
        <rFont val="Noto Sans SC"/>
        <family val="2"/>
        <charset val="1"/>
      </rPr>
      <t xml:space="preserve">驱动</t>
    </r>
    <r>
      <rPr>
        <sz val="11"/>
        <color rgb="FF000000"/>
        <rFont val="Calibri"/>
        <family val="2"/>
        <charset val="1"/>
      </rPr>
      <t xml:space="preserve">(&gt;=570)</t>
    </r>
    <r>
      <rPr>
        <sz val="11"/>
        <color rgb="FF000000"/>
        <rFont val="Noto Sans SC"/>
        <family val="2"/>
        <charset val="1"/>
      </rPr>
      <t xml:space="preserve">；建 </t>
    </r>
    <r>
      <rPr>
        <sz val="11"/>
        <color rgb="FF000000"/>
        <rFont val="Calibri"/>
        <family val="2"/>
        <charset val="1"/>
      </rPr>
      <t xml:space="preserve">conda </t>
    </r>
    <r>
      <rPr>
        <sz val="11"/>
        <color rgb="FF000000"/>
        <rFont val="Noto Sans SC"/>
        <family val="2"/>
        <charset val="1"/>
      </rPr>
      <t xml:space="preserve">环境 </t>
    </r>
    <r>
      <rPr>
        <sz val="11"/>
        <color rgb="FF000000"/>
        <rFont val="Calibri"/>
        <family val="2"/>
        <charset val="1"/>
      </rPr>
      <t xml:space="preserve">dl(py3.11)</t>
    </r>
    <r>
      <rPr>
        <sz val="11"/>
        <color rgb="FF000000"/>
        <rFont val="Noto Sans SC"/>
        <family val="2"/>
        <charset val="1"/>
      </rPr>
      <t xml:space="preserve">；</t>
    </r>
    <r>
      <rPr>
        <sz val="11"/>
        <color rgb="FF000000"/>
        <rFont val="Calibri"/>
        <family val="2"/>
        <charset val="1"/>
      </rPr>
      <t xml:space="preserve">pip </t>
    </r>
    <r>
      <rPr>
        <sz val="11"/>
        <color rgb="FF000000"/>
        <rFont val="Noto Sans SC"/>
        <family val="2"/>
        <charset val="1"/>
      </rPr>
      <t xml:space="preserve">装 </t>
    </r>
    <r>
      <rPr>
        <sz val="11"/>
        <color rgb="FF000000"/>
        <rFont val="Calibri"/>
        <family val="2"/>
        <charset val="1"/>
      </rPr>
      <t xml:space="preserve">cu128 </t>
    </r>
    <r>
      <rPr>
        <sz val="11"/>
        <color rgb="FF000000"/>
        <rFont val="Noto Sans SC"/>
        <family val="2"/>
        <charset val="1"/>
      </rPr>
      <t xml:space="preserve">版 </t>
    </r>
    <r>
      <rPr>
        <sz val="11"/>
        <color rgb="FF000000"/>
        <rFont val="Calibri"/>
        <family val="2"/>
        <charset val="1"/>
      </rPr>
      <t xml:space="preserve">torch/torchvision</t>
    </r>
    <r>
      <rPr>
        <sz val="11"/>
        <color rgb="FF000000"/>
        <rFont val="Noto Sans SC"/>
        <family val="2"/>
        <charset val="1"/>
      </rPr>
      <t xml:space="preserve">；常用工具链；跑 </t>
    </r>
    <r>
      <rPr>
        <sz val="11"/>
        <color rgb="FF000000"/>
        <rFont val="Calibri"/>
        <family val="2"/>
        <charset val="1"/>
      </rPr>
      <t xml:space="preserve">verify_env.py </t>
    </r>
    <r>
      <rPr>
        <sz val="11"/>
        <color rgb="FF000000"/>
        <rFont val="Noto Sans SC"/>
        <family val="2"/>
        <charset val="1"/>
      </rPr>
      <t xml:space="preserve">验收</t>
    </r>
  </si>
  <si>
    <r>
      <rPr>
        <sz val="11"/>
        <color rgb="FF000000"/>
        <rFont val="Calibri"/>
        <family val="2"/>
        <charset val="1"/>
      </rPr>
      <t xml:space="preserve">cuda.is_available()==True </t>
    </r>
    <r>
      <rPr>
        <sz val="11"/>
        <color rgb="FF000000"/>
        <rFont val="Noto Sans SC"/>
        <family val="2"/>
        <charset val="1"/>
      </rPr>
      <t xml:space="preserve">且 </t>
    </r>
    <r>
      <rPr>
        <sz val="11"/>
        <color rgb="FF000000"/>
        <rFont val="Calibri"/>
        <family val="2"/>
        <charset val="1"/>
      </rPr>
      <t xml:space="preserve">GPU </t>
    </r>
    <r>
      <rPr>
        <sz val="11"/>
        <color rgb="FF000000"/>
        <rFont val="Noto Sans SC"/>
        <family val="2"/>
        <charset val="1"/>
      </rPr>
      <t xml:space="preserve">利用率</t>
    </r>
    <r>
      <rPr>
        <sz val="11"/>
        <color rgb="FF000000"/>
        <rFont val="Calibri"/>
        <family val="2"/>
        <charset val="1"/>
      </rPr>
      <t xml:space="preserve">&gt;50%</t>
    </r>
  </si>
  <si>
    <t xml:space="preserve">已完成</t>
  </si>
  <si>
    <r>
      <rPr>
        <sz val="11"/>
        <color rgb="FF000000"/>
        <rFont val="Noto Sans SC"/>
        <family val="2"/>
        <charset val="1"/>
      </rPr>
      <t xml:space="preserve">进行中：</t>
    </r>
    <r>
      <rPr>
        <sz val="11"/>
        <color rgb="FF000000"/>
        <rFont val="Calibri"/>
        <family val="2"/>
        <charset val="1"/>
      </rPr>
      <t xml:space="preserve">Ubuntu 22.04 </t>
    </r>
    <r>
      <rPr>
        <sz val="11"/>
        <color rgb="FF000000"/>
        <rFont val="Noto Sans SC"/>
        <family val="2"/>
        <charset val="1"/>
      </rPr>
      <t xml:space="preserve">双系统 </t>
    </r>
    <r>
      <rPr>
        <sz val="11"/>
        <color rgb="FF000000"/>
        <rFont val="Calibri"/>
        <family val="2"/>
        <charset val="1"/>
      </rPr>
      <t xml:space="preserve">+ miniconda </t>
    </r>
    <r>
      <rPr>
        <sz val="11"/>
        <color rgb="FF000000"/>
        <rFont val="Noto Sans SC"/>
        <family val="2"/>
        <charset val="1"/>
      </rPr>
      <t xml:space="preserve">已装；待装 </t>
    </r>
    <r>
      <rPr>
        <sz val="11"/>
        <color rgb="FF000000"/>
        <rFont val="Calibri"/>
        <family val="2"/>
        <charset val="1"/>
      </rPr>
      <t xml:space="preserve">NVIDIA </t>
    </r>
    <r>
      <rPr>
        <sz val="11"/>
        <color rgb="FF000000"/>
        <rFont val="Noto Sans SC"/>
        <family val="2"/>
        <charset val="1"/>
      </rPr>
      <t xml:space="preserve">驱动</t>
    </r>
    <r>
      <rPr>
        <sz val="11"/>
        <color rgb="FF000000"/>
        <rFont val="Calibri"/>
        <family val="2"/>
        <charset val="1"/>
      </rPr>
      <t xml:space="preserve">(&gt;=570) </t>
    </r>
    <r>
      <rPr>
        <sz val="11"/>
        <color rgb="FF000000"/>
        <rFont val="Noto Sans SC"/>
        <family val="2"/>
        <charset val="1"/>
      </rPr>
      <t xml:space="preserve">与 </t>
    </r>
    <r>
      <rPr>
        <sz val="11"/>
        <color rgb="FF000000"/>
        <rFont val="Calibri"/>
        <family val="2"/>
        <charset val="1"/>
      </rPr>
      <t xml:space="preserve">cu128 </t>
    </r>
    <r>
      <rPr>
        <sz val="11"/>
        <color rgb="FF000000"/>
        <rFont val="Noto Sans SC"/>
        <family val="2"/>
        <charset val="1"/>
      </rPr>
      <t xml:space="preserve">版 </t>
    </r>
    <r>
      <rPr>
        <sz val="11"/>
        <color rgb="FF000000"/>
        <rFont val="Calibri"/>
        <family val="2"/>
        <charset val="1"/>
      </rPr>
      <t xml:space="preserve">torch —— </t>
    </r>
    <r>
      <rPr>
        <sz val="11"/>
        <color rgb="FF000000"/>
        <rFont val="Noto Sans SC"/>
        <family val="2"/>
        <charset val="1"/>
      </rPr>
      <t xml:space="preserve">见《阶段</t>
    </r>
    <r>
      <rPr>
        <sz val="11"/>
        <color rgb="FF000000"/>
        <rFont val="Calibri"/>
        <family val="2"/>
        <charset val="1"/>
      </rPr>
      <t xml:space="preserve">0_</t>
    </r>
    <r>
      <rPr>
        <sz val="11"/>
        <color rgb="FF000000"/>
        <rFont val="Noto Sans SC"/>
        <family val="2"/>
        <charset val="1"/>
      </rPr>
      <t xml:space="preserve">环境搭建与验收</t>
    </r>
    <r>
      <rPr>
        <sz val="11"/>
        <color rgb="FF000000"/>
        <rFont val="Calibri"/>
        <family val="2"/>
        <charset val="1"/>
      </rPr>
      <t xml:space="preserve">.md</t>
    </r>
    <r>
      <rPr>
        <sz val="11"/>
        <color rgb="FF000000"/>
        <rFont val="Noto Sans SC"/>
        <family val="2"/>
        <charset val="1"/>
      </rPr>
      <t xml:space="preserve">》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</si>
  <si>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SC"/>
        <family val="2"/>
        <charset val="1"/>
      </rPr>
      <t xml:space="preserve">训练工程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</si>
  <si>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</si>
  <si>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训练循环五件套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</si>
  <si>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Dataset/DataLoader</t>
    </r>
    <r>
      <rPr>
        <sz val="11"/>
        <color rgb="FF000000"/>
        <rFont val="Noto Sans SC"/>
        <family val="2"/>
        <charset val="1"/>
      </rPr>
      <t xml:space="preserve">；手写完整训练循环；理解 </t>
    </r>
    <r>
      <rPr>
        <sz val="11"/>
        <color rgb="FF000000"/>
        <rFont val="Calibri"/>
        <family val="2"/>
        <charset val="1"/>
      </rPr>
      <t xml:space="preserve">eval() </t>
    </r>
    <r>
      <rPr>
        <sz val="11"/>
        <color rgb="FF000000"/>
        <rFont val="Noto Sans SC"/>
        <family val="2"/>
        <charset val="1"/>
      </rPr>
      <t xml:space="preserve">与 </t>
    </r>
    <r>
      <rPr>
        <sz val="11"/>
        <color rgb="FF000000"/>
        <rFont val="Calibri"/>
        <family val="2"/>
        <charset val="1"/>
      </rPr>
      <t xml:space="preserve">no_grad() </t>
    </r>
    <r>
      <rPr>
        <sz val="11"/>
        <color rgb="FF000000"/>
        <rFont val="Noto Sans SC"/>
        <family val="2"/>
        <charset val="1"/>
      </rPr>
      <t xml:space="preserve">区别</t>
    </r>
  </si>
  <si>
    <t xml:space="preserve">能不看示例写出基本训练循环</t>
  </si>
  <si>
    <t xml:space="preserve">进行中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</si>
  <si>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</si>
  <si>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训练循环五件套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</si>
  <si>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AMP </t>
    </r>
    <r>
      <rPr>
        <sz val="11"/>
        <color rgb="FF000000"/>
        <rFont val="Noto Sans SC"/>
        <family val="2"/>
        <charset val="1"/>
      </rPr>
      <t xml:space="preserve">混合精度；梯度累积；</t>
    </r>
    <r>
      <rPr>
        <sz val="11"/>
        <color rgb="FF000000"/>
        <rFont val="Calibri"/>
        <family val="2"/>
        <charset val="1"/>
      </rPr>
      <t xml:space="preserve">zero_grad </t>
    </r>
    <r>
      <rPr>
        <sz val="11"/>
        <color rgb="FF000000"/>
        <rFont val="Noto Sans SC"/>
        <family val="2"/>
        <charset val="1"/>
      </rPr>
      <t xml:space="preserve">的作用实证</t>
    </r>
  </si>
  <si>
    <r>
      <rPr>
        <sz val="11"/>
        <color rgb="FF000000"/>
        <rFont val="Calibri"/>
        <family val="2"/>
        <charset val="1"/>
      </rPr>
      <t xml:space="preserve">8GB </t>
    </r>
    <r>
      <rPr>
        <sz val="11"/>
        <color rgb="FF000000"/>
        <rFont val="Noto Sans SC"/>
        <family val="2"/>
        <charset val="1"/>
      </rPr>
      <t xml:space="preserve">显存下跑通 </t>
    </r>
    <r>
      <rPr>
        <sz val="11"/>
        <color rgb="FF000000"/>
        <rFont val="Calibri"/>
        <family val="2"/>
        <charset val="1"/>
      </rPr>
      <t xml:space="preserve">AMP </t>
    </r>
    <r>
      <rPr>
        <sz val="11"/>
        <color rgb="FF000000"/>
        <rFont val="Noto Sans SC"/>
        <family val="2"/>
        <charset val="1"/>
      </rPr>
      <t xml:space="preserve">训练</t>
    </r>
  </si>
  <si>
    <t xml:space="preserve">未开始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</si>
  <si>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</si>
  <si>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调试能力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</si>
  <si>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过拟合单 </t>
    </r>
    <r>
      <rPr>
        <sz val="11"/>
        <color rgb="FF000000"/>
        <rFont val="Calibri"/>
        <family val="2"/>
        <charset val="1"/>
      </rPr>
      <t xml:space="preserve">batch</t>
    </r>
    <r>
      <rPr>
        <sz val="11"/>
        <color rgb="FF000000"/>
        <rFont val="Noto Sans SC"/>
        <family val="2"/>
        <charset val="1"/>
      </rPr>
      <t xml:space="preserve">；</t>
    </r>
    <r>
      <rPr>
        <sz val="11"/>
        <color rgb="FF000000"/>
        <rFont val="Calibri"/>
        <family val="2"/>
        <charset val="1"/>
      </rPr>
      <t xml:space="preserve">TensorBoard </t>
    </r>
    <r>
      <rPr>
        <sz val="11"/>
        <color rgb="FF000000"/>
        <rFont val="Noto Sans SC"/>
        <family val="2"/>
        <charset val="1"/>
      </rPr>
      <t xml:space="preserve">可视化 </t>
    </r>
    <r>
      <rPr>
        <sz val="11"/>
        <color rgb="FF000000"/>
        <rFont val="Calibri"/>
        <family val="2"/>
        <charset val="1"/>
      </rPr>
      <t xml:space="preserve">loss/</t>
    </r>
    <r>
      <rPr>
        <sz val="11"/>
        <color rgb="FF000000"/>
        <rFont val="Noto Sans SC"/>
        <family val="2"/>
        <charset val="1"/>
      </rPr>
      <t xml:space="preserve">权重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特征图</t>
    </r>
  </si>
  <si>
    <r>
      <rPr>
        <sz val="11"/>
        <color rgb="FF000000"/>
        <rFont val="Calibri"/>
        <family val="2"/>
        <charset val="1"/>
      </rPr>
      <t xml:space="preserve">loss </t>
    </r>
    <r>
      <rPr>
        <sz val="11"/>
        <color rgb="FF000000"/>
        <rFont val="Noto Sans SC"/>
        <family val="2"/>
        <charset val="1"/>
      </rPr>
      <t xml:space="preserve">能降到接近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</si>
  <si>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</si>
  <si>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调试能力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</si>
  <si>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固定随机种子；主动制造并修复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Noto Sans SC"/>
        <family val="2"/>
        <charset val="1"/>
      </rPr>
      <t xml:space="preserve">类故障</t>
    </r>
    <r>
      <rPr>
        <sz val="11"/>
        <color rgb="FF000000"/>
        <rFont val="Calibri"/>
        <family val="2"/>
        <charset val="1"/>
      </rPr>
      <t xml:space="preserve">(OOM/nan/</t>
    </r>
    <r>
      <rPr>
        <sz val="11"/>
        <color rgb="FF000000"/>
        <rFont val="Noto Sans SC"/>
        <family val="2"/>
        <charset val="1"/>
      </rPr>
      <t xml:space="preserve">不收敛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标签错位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</si>
  <si>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两次运行结果一致；产出 </t>
    </r>
    <r>
      <rPr>
        <sz val="11"/>
        <color rgb="FF000000"/>
        <rFont val="Calibri"/>
        <family val="2"/>
        <charset val="1"/>
      </rPr>
      <t xml:space="preserve">debug_checklist.md (M1)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</si>
  <si>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</si>
  <si>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CIFAR-10 </t>
    </r>
    <r>
      <rPr>
        <sz val="11"/>
        <color rgb="FF000000"/>
        <rFont val="Noto Sans SC"/>
        <family val="2"/>
        <charset val="1"/>
      </rPr>
      <t xml:space="preserve">实战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</si>
  <si>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自写 </t>
    </r>
    <r>
      <rPr>
        <sz val="11"/>
        <color rgb="FF000000"/>
        <rFont val="Calibri"/>
        <family val="2"/>
        <charset val="1"/>
      </rPr>
      <t xml:space="preserve">ResNet</t>
    </r>
    <r>
      <rPr>
        <sz val="11"/>
        <color rgb="FF000000"/>
        <rFont val="Noto Sans SC"/>
        <family val="2"/>
        <charset val="1"/>
      </rPr>
      <t xml:space="preserve">；数据增强；余弦退火学习率调度</t>
    </r>
  </si>
  <si>
    <t xml:space="preserve">训练能正常收敛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</si>
  <si>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</si>
  <si>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CIFAR-10 </t>
    </r>
    <r>
      <rPr>
        <sz val="11"/>
        <color rgb="FF000000"/>
        <rFont val="Noto Sans SC"/>
        <family val="2"/>
        <charset val="1"/>
      </rPr>
      <t xml:space="preserve">实战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</si>
  <si>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t xml:space="preserve">早停；最佳权重保存与恢复；完整训练记录</t>
  </si>
  <si>
    <r>
      <rPr>
        <sz val="11"/>
        <color rgb="FF000000"/>
        <rFont val="Noto Sans SC"/>
        <family val="2"/>
        <charset val="1"/>
      </rPr>
      <t xml:space="preserve">完成一次全量训练并记录耗时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显存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</si>
  <si>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</si>
  <si>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原理补课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</si>
  <si>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BatchNorm </t>
    </r>
    <r>
      <rPr>
        <sz val="11"/>
        <color rgb="FF000000"/>
        <rFont val="Noto Sans SC"/>
        <family val="2"/>
        <charset val="1"/>
      </rPr>
      <t xml:space="preserve">前向反向；</t>
    </r>
    <r>
      <rPr>
        <sz val="11"/>
        <color rgb="FF000000"/>
        <rFont val="Calibri"/>
        <family val="2"/>
        <charset val="1"/>
      </rPr>
      <t xml:space="preserve">softmax+</t>
    </r>
    <r>
      <rPr>
        <sz val="11"/>
        <color rgb="FF000000"/>
        <rFont val="Noto Sans SC"/>
        <family val="2"/>
        <charset val="1"/>
      </rPr>
      <t xml:space="preserve">交叉熵梯度推导</t>
    </r>
  </si>
  <si>
    <t xml:space="preserve">能手推并写数值梯度验证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</si>
  <si>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</si>
  <si>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原理补课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</si>
  <si>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卷积反向</t>
    </r>
    <r>
      <rPr>
        <sz val="11"/>
        <color rgb="FF000000"/>
        <rFont val="Calibri"/>
        <family val="2"/>
        <charset val="1"/>
      </rPr>
      <t xml:space="preserve">(im2col)</t>
    </r>
    <r>
      <rPr>
        <sz val="11"/>
        <color rgb="FF000000"/>
        <rFont val="Noto Sans SC"/>
        <family val="2"/>
        <charset val="1"/>
      </rPr>
      <t xml:space="preserve">；链式法则手推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SC"/>
        <family val="2"/>
        <charset val="1"/>
      </rPr>
      <t xml:space="preserve">层网络；初始化方法</t>
    </r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</si>
  <si>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M2</t>
    </r>
    <r>
      <rPr>
        <sz val="11"/>
        <color rgb="FF000000"/>
        <rFont val="Noto Sans SC"/>
        <family val="2"/>
        <charset val="1"/>
      </rPr>
      <t xml:space="preserve">：</t>
    </r>
    <r>
      <rPr>
        <sz val="11"/>
        <color rgb="FF000000"/>
        <rFont val="Calibri"/>
        <family val="2"/>
        <charset val="1"/>
      </rPr>
      <t xml:space="preserve">CIFAR-10 top-1 ≥ 93%</t>
    </r>
    <r>
      <rPr>
        <sz val="11"/>
        <color rgb="FF000000"/>
        <rFont val="Noto Sans SC"/>
        <family val="2"/>
        <charset val="1"/>
      </rPr>
      <t xml:space="preserve">，</t>
    </r>
    <r>
      <rPr>
        <sz val="11"/>
        <color rgb="FF000000"/>
        <rFont val="Calibri"/>
        <family val="2"/>
        <charset val="1"/>
      </rPr>
      <t xml:space="preserve">&lt;30min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</si>
  <si>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SC"/>
        <family val="2"/>
        <charset val="1"/>
      </rPr>
      <t xml:space="preserve">复现方法论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</si>
  <si>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</si>
  <si>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配置与工具链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</si>
  <si>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argparse/Hydra </t>
    </r>
    <r>
      <rPr>
        <sz val="11"/>
        <color rgb="FF000000"/>
        <rFont val="Noto Sans SC"/>
        <family val="2"/>
        <charset val="1"/>
      </rPr>
      <t xml:space="preserve">配置系统；</t>
    </r>
    <r>
      <rPr>
        <sz val="11"/>
        <color rgb="FF000000"/>
        <rFont val="Calibri"/>
        <family val="2"/>
        <charset val="1"/>
      </rPr>
      <t xml:space="preserve">TensorBoard </t>
    </r>
    <r>
      <rPr>
        <sz val="11"/>
        <color rgb="FF000000"/>
        <rFont val="Noto Sans SC"/>
        <family val="2"/>
        <charset val="1"/>
      </rPr>
      <t xml:space="preserve">与 </t>
    </r>
    <r>
      <rPr>
        <sz val="11"/>
        <color rgb="FF000000"/>
        <rFont val="Calibri"/>
        <family val="2"/>
        <charset val="1"/>
      </rPr>
      <t xml:space="preserve">W&amp;B </t>
    </r>
    <r>
      <rPr>
        <sz val="11"/>
        <color rgb="FF000000"/>
        <rFont val="Noto Sans SC"/>
        <family val="2"/>
        <charset val="1"/>
      </rPr>
      <t xml:space="preserve">日志</t>
    </r>
  </si>
  <si>
    <t xml:space="preserve">能看懂任何项目参数从哪来、日志到哪去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</si>
  <si>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</si>
  <si>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配置与工具链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</si>
  <si>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断点续训原理；</t>
    </r>
    <r>
      <rPr>
        <sz val="11"/>
        <color rgb="FF000000"/>
        <rFont val="Calibri"/>
        <family val="2"/>
        <charset val="1"/>
      </rPr>
      <t xml:space="preserve">ONNX </t>
    </r>
    <r>
      <rPr>
        <sz val="11"/>
        <color rgb="FF000000"/>
        <rFont val="Noto Sans SC"/>
        <family val="2"/>
        <charset val="1"/>
      </rPr>
      <t xml:space="preserve">导出；</t>
    </r>
    <r>
      <rPr>
        <sz val="11"/>
        <color rgb="FF000000"/>
        <rFont val="Calibri"/>
        <family val="2"/>
        <charset val="1"/>
      </rPr>
      <t xml:space="preserve">git upstream </t>
    </r>
    <r>
      <rPr>
        <sz val="11"/>
        <color rgb="FF000000"/>
        <rFont val="Noto Sans SC"/>
        <family val="2"/>
        <charset val="1"/>
      </rPr>
      <t xml:space="preserve">工作流</t>
    </r>
  </si>
  <si>
    <t xml:space="preserve">能中断后恢复训练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</si>
  <si>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</si>
  <si>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首次完整复现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</si>
  <si>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走复现四步法第 </t>
    </r>
    <r>
      <rPr>
        <sz val="11"/>
        <color rgb="FF000000"/>
        <rFont val="Calibri"/>
        <family val="2"/>
        <charset val="1"/>
      </rPr>
      <t xml:space="preserve">1-3 </t>
    </r>
    <r>
      <rPr>
        <sz val="11"/>
        <color rgb="FF000000"/>
        <rFont val="Noto Sans SC"/>
        <family val="2"/>
        <charset val="1"/>
      </rPr>
      <t xml:space="preserve">步：环境锚定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数据通路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最小可运行</t>
    </r>
  </si>
  <si>
    <r>
      <rPr>
        <sz val="11"/>
        <color rgb="FF000000"/>
        <rFont val="Noto Sans SC"/>
        <family val="2"/>
        <charset val="1"/>
      </rPr>
      <t xml:space="preserve">数据通路可视化通过，单 </t>
    </r>
    <r>
      <rPr>
        <sz val="11"/>
        <color rgb="FF000000"/>
        <rFont val="Calibri"/>
        <family val="2"/>
        <charset val="1"/>
      </rPr>
      <t xml:space="preserve">batch </t>
    </r>
    <r>
      <rPr>
        <sz val="11"/>
        <color rgb="FF000000"/>
        <rFont val="Noto Sans SC"/>
        <family val="2"/>
        <charset val="1"/>
      </rPr>
      <t xml:space="preserve">过拟合成功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</si>
  <si>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</si>
  <si>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首次完整复现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</si>
  <si>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t xml:space="preserve">全量复现；指标对齐；写复现报告；画数据流图</t>
  </si>
  <si>
    <t xml:space="preserve">跑出接近原报告的指标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</si>
  <si>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</si>
  <si>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改代码</t>
    </r>
    <r>
      <rPr>
        <sz val="11"/>
        <color rgb="FF000000"/>
        <rFont val="Calibri"/>
        <family val="2"/>
        <charset val="1"/>
      </rPr>
      <t xml:space="preserve">(L2)</t>
    </r>
  </si>
  <si>
    <r>
      <rPr>
        <sz val="11"/>
        <color rgb="FF000000"/>
        <rFont val="Noto Sans SC"/>
        <family val="2"/>
        <charset val="1"/>
      </rPr>
      <t xml:space="preserve">换 </t>
    </r>
    <r>
      <rPr>
        <sz val="11"/>
        <color rgb="FF000000"/>
        <rFont val="Calibri"/>
        <family val="2"/>
        <charset val="1"/>
      </rPr>
      <t xml:space="preserve">backbone / </t>
    </r>
    <r>
      <rPr>
        <sz val="11"/>
        <color rgb="FF000000"/>
        <rFont val="Noto Sans SC"/>
        <family val="2"/>
        <charset val="1"/>
      </rPr>
      <t xml:space="preserve">换数据集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SC"/>
        <family val="2"/>
        <charset val="1"/>
      </rPr>
      <t xml:space="preserve">换损失函数，各做一次</t>
    </r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</si>
  <si>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M4</t>
    </r>
    <r>
      <rPr>
        <sz val="11"/>
        <color rgb="FF000000"/>
        <rFont val="Noto Sans SC"/>
        <family val="2"/>
        <charset val="1"/>
      </rPr>
      <t xml:space="preserve">：替换 </t>
    </r>
    <r>
      <rPr>
        <sz val="11"/>
        <color rgb="FF000000"/>
        <rFont val="Calibri"/>
        <family val="2"/>
        <charset val="1"/>
      </rPr>
      <t xml:space="preserve">backbone </t>
    </r>
    <r>
      <rPr>
        <sz val="11"/>
        <color rgb="FF000000"/>
        <rFont val="Noto Sans SC"/>
        <family val="2"/>
        <charset val="1"/>
      </rPr>
      <t xml:space="preserve">仍收敛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</si>
  <si>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</si>
  <si>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复刻验证与复盘</t>
  </si>
  <si>
    <r>
      <rPr>
        <sz val="11"/>
        <color rgb="FF000000"/>
        <rFont val="Noto Sans SC"/>
        <family val="2"/>
        <charset val="1"/>
      </rPr>
      <t xml:space="preserve">限时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SC"/>
        <family val="2"/>
        <charset val="1"/>
      </rPr>
      <t xml:space="preserve">周复现完全陌生的仓库；偏差归因表</t>
    </r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</si>
  <si>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M3</t>
    </r>
    <r>
      <rPr>
        <sz val="11"/>
        <color rgb="FF000000"/>
        <rFont val="Noto Sans SC"/>
        <family val="2"/>
        <charset val="1"/>
      </rPr>
      <t xml:space="preserve">：偏差归因完整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至少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Noto Sans SC"/>
        <family val="2"/>
        <charset val="1"/>
      </rPr>
      <t xml:space="preserve">张数据流图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</si>
  <si>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Noto Sans SC"/>
        <family val="2"/>
        <charset val="1"/>
      </rPr>
      <t xml:space="preserve">视觉感知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</si>
  <si>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</si>
  <si>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检测</t>
    </r>
    <r>
      <rPr>
        <sz val="11"/>
        <color rgb="FF000000"/>
        <rFont val="Calibri"/>
        <family val="2"/>
        <charset val="1"/>
      </rPr>
      <t xml:space="preserve">-ultralytics(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</si>
  <si>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YOLO </t>
    </r>
    <r>
      <rPr>
        <sz val="11"/>
        <color rgb="FF000000"/>
        <rFont val="Noto Sans SC"/>
        <family val="2"/>
        <charset val="1"/>
      </rPr>
      <t xml:space="preserve">训练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验证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推理全链路；建立检测直觉</t>
    </r>
  </si>
  <si>
    <t xml:space="preserve">跑通官方数据集训练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</si>
  <si>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</si>
  <si>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检测</t>
    </r>
    <r>
      <rPr>
        <sz val="11"/>
        <color rgb="FF000000"/>
        <rFont val="Calibri"/>
        <family val="2"/>
        <charset val="1"/>
      </rPr>
      <t xml:space="preserve">-ultralytics(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</si>
  <si>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导出 </t>
    </r>
    <r>
      <rPr>
        <sz val="11"/>
        <color rgb="FF000000"/>
        <rFont val="Calibri"/>
        <family val="2"/>
        <charset val="1"/>
      </rPr>
      <t xml:space="preserve">ONNX</t>
    </r>
    <r>
      <rPr>
        <sz val="11"/>
        <color rgb="FF000000"/>
        <rFont val="Noto Sans SC"/>
        <family val="2"/>
        <charset val="1"/>
      </rPr>
      <t xml:space="preserve">；超参理解；</t>
    </r>
    <r>
      <rPr>
        <sz val="11"/>
        <color rgb="FF000000"/>
        <rFont val="Calibri"/>
        <family val="2"/>
        <charset val="1"/>
      </rPr>
      <t xml:space="preserve">Mosaic </t>
    </r>
    <r>
      <rPr>
        <sz val="11"/>
        <color rgb="FF000000"/>
        <rFont val="Noto Sans SC"/>
        <family val="2"/>
        <charset val="1"/>
      </rPr>
      <t xml:space="preserve">等增强</t>
    </r>
  </si>
  <si>
    <r>
      <rPr>
        <sz val="11"/>
        <color rgb="FF000000"/>
        <rFont val="Noto Sans SC"/>
        <family val="2"/>
        <charset val="1"/>
      </rPr>
      <t xml:space="preserve">能解释每个超参作用</t>
    </r>
    <r>
      <rPr>
        <sz val="11"/>
        <color rgb="FF000000"/>
        <rFont val="Calibri"/>
        <family val="2"/>
        <charset val="1"/>
      </rPr>
      <t xml:space="preserve">(L1)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</si>
  <si>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</si>
  <si>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检测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精读框架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</si>
  <si>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DETR/Detectron2/mmdet </t>
    </r>
    <r>
      <rPr>
        <sz val="11"/>
        <color rgb="FF000000"/>
        <rFont val="Noto Sans SC"/>
        <family val="2"/>
        <charset val="1"/>
      </rPr>
      <t xml:space="preserve">中选一：环境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数据通路</t>
    </r>
  </si>
  <si>
    <t xml:space="preserve">数据通路打通并可视化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</si>
  <si>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</si>
  <si>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检测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精读框架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</si>
  <si>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IoU/NMS/mAP/</t>
    </r>
    <r>
      <rPr>
        <sz val="11"/>
        <color rgb="FF000000"/>
        <rFont val="Noto Sans SC"/>
        <family val="2"/>
        <charset val="1"/>
      </rPr>
      <t xml:space="preserve">正负样本分配；自建小数据集训练评估</t>
    </r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</si>
  <si>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M5</t>
    </r>
    <r>
      <rPr>
        <sz val="11"/>
        <color rgb="FF000000"/>
        <rFont val="Noto Sans SC"/>
        <family val="2"/>
        <charset val="1"/>
      </rPr>
      <t xml:space="preserve">：能解释 </t>
    </r>
    <r>
      <rPr>
        <sz val="11"/>
        <color rgb="FF000000"/>
        <rFont val="Calibri"/>
        <family val="2"/>
        <charset val="1"/>
      </rPr>
      <t xml:space="preserve">mAP/NMS </t>
    </r>
    <r>
      <rPr>
        <sz val="11"/>
        <color rgb="FF000000"/>
        <rFont val="Noto Sans SC"/>
        <family val="2"/>
        <charset val="1"/>
      </rPr>
      <t xml:space="preserve">并完成评估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</si>
  <si>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</si>
  <si>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跟踪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原理</t>
    </r>
  </si>
  <si>
    <r>
      <rPr>
        <sz val="11"/>
        <color rgb="FF000000"/>
        <rFont val="Noto Sans SC"/>
        <family val="2"/>
        <charset val="1"/>
      </rPr>
      <t xml:space="preserve">卡尔曼滤波预测；相似度关联；轨迹管理；</t>
    </r>
    <r>
      <rPr>
        <sz val="11"/>
        <color rgb="FF000000"/>
        <rFont val="Calibri"/>
        <family val="2"/>
        <charset val="1"/>
      </rPr>
      <t xml:space="preserve">MOTA/IDF1</t>
    </r>
  </si>
  <si>
    <t xml:space="preserve">能白板讲清关联流程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</si>
  <si>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</si>
  <si>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跟踪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复现</t>
    </r>
  </si>
  <si>
    <r>
      <rPr>
        <sz val="11"/>
        <color rgb="FF000000"/>
        <rFont val="Calibri"/>
        <family val="2"/>
        <charset val="1"/>
      </rPr>
      <t xml:space="preserve">ByteTrack </t>
    </r>
    <r>
      <rPr>
        <sz val="11"/>
        <color rgb="FF000000"/>
        <rFont val="Noto Sans SC"/>
        <family val="2"/>
        <charset val="1"/>
      </rPr>
      <t xml:space="preserve">或 </t>
    </r>
    <r>
      <rPr>
        <sz val="11"/>
        <color rgb="FF000000"/>
        <rFont val="Calibri"/>
        <family val="2"/>
        <charset val="1"/>
      </rPr>
      <t xml:space="preserve">BoT-SORT </t>
    </r>
    <r>
      <rPr>
        <sz val="11"/>
        <color rgb="FF000000"/>
        <rFont val="Noto Sans SC"/>
        <family val="2"/>
        <charset val="1"/>
      </rPr>
      <t xml:space="preserve">官方实现跑通</t>
    </r>
  </si>
  <si>
    <t xml:space="preserve">复现出接近原报告的指标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</si>
  <si>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</si>
  <si>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跟踪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改造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</si>
  <si>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t xml:space="preserve">把自己的检测器接进跟踪器</t>
  </si>
  <si>
    <t xml:space="preserve">不用作者提供的检测结果也能跑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</si>
  <si>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</si>
  <si>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跟踪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改造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</si>
  <si>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输出 </t>
    </r>
    <r>
      <rPr>
        <sz val="11"/>
        <color rgb="FF000000"/>
        <rFont val="Calibri"/>
        <family val="2"/>
        <charset val="1"/>
      </rPr>
      <t xml:space="preserve">MOTA/IDF1</t>
    </r>
    <r>
      <rPr>
        <sz val="11"/>
        <color rgb="FF000000"/>
        <rFont val="Noto Sans SC"/>
        <family val="2"/>
        <charset val="1"/>
      </rPr>
      <t xml:space="preserve">；生成带 </t>
    </r>
    <r>
      <rPr>
        <sz val="11"/>
        <color rgb="FF000000"/>
        <rFont val="Calibri"/>
        <family val="2"/>
        <charset val="1"/>
      </rPr>
      <t xml:space="preserve">ID </t>
    </r>
    <r>
      <rPr>
        <sz val="11"/>
        <color rgb="FF000000"/>
        <rFont val="Noto Sans SC"/>
        <family val="2"/>
        <charset val="1"/>
      </rPr>
      <t xml:space="preserve">的可视化视频</t>
    </r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</si>
  <si>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M6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</si>
  <si>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</si>
  <si>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定位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位姿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深度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</si>
  <si>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PoseNet </t>
    </r>
    <r>
      <rPr>
        <sz val="11"/>
        <color rgb="FF000000"/>
        <rFont val="Noto Sans SC"/>
        <family val="2"/>
        <charset val="1"/>
      </rPr>
      <t xml:space="preserve">系或 </t>
    </r>
    <r>
      <rPr>
        <sz val="11"/>
        <color rgb="FF000000"/>
        <rFont val="Calibri"/>
        <family val="2"/>
        <charset val="1"/>
      </rPr>
      <t xml:space="preserve">Depth Anything V2</t>
    </r>
    <r>
      <rPr>
        <sz val="11"/>
        <color rgb="FF000000"/>
        <rFont val="Noto Sans SC"/>
        <family val="2"/>
        <charset val="1"/>
      </rPr>
      <t xml:space="preserve">：环境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推理</t>
    </r>
  </si>
  <si>
    <t xml:space="preserve">跑通推理链路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</si>
  <si>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</si>
  <si>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定位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  <charset val="1"/>
      </rPr>
      <t xml:space="preserve">位姿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深度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</si>
  <si>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可视化轨迹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深度图；必要时微调</t>
    </r>
  </si>
  <si>
    <t xml:space="preserve">有可视化产出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</si>
  <si>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</si>
  <si>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定位</t>
    </r>
    <r>
      <rPr>
        <sz val="11"/>
        <color rgb="FF000000"/>
        <rFont val="Calibri"/>
        <family val="2"/>
        <charset val="1"/>
      </rPr>
      <t xml:space="preserve">-SLAM(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</si>
  <si>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轻量 </t>
    </r>
    <r>
      <rPr>
        <sz val="11"/>
        <color rgb="FF000000"/>
        <rFont val="Calibri"/>
        <family val="2"/>
        <charset val="1"/>
      </rPr>
      <t xml:space="preserve">SLAM </t>
    </r>
    <r>
      <rPr>
        <sz val="11"/>
        <color rgb="FF000000"/>
        <rFont val="Noto Sans SC"/>
        <family val="2"/>
        <charset val="1"/>
      </rPr>
      <t xml:space="preserve">仓库环境搭建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量力而行</t>
    </r>
    <r>
      <rPr>
        <sz val="11"/>
        <color rgb="FF000000"/>
        <rFont val="Calibri"/>
        <family val="2"/>
        <charset val="1"/>
      </rPr>
      <t xml:space="preserve">)</t>
    </r>
  </si>
  <si>
    <t xml:space="preserve">环境跑通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</si>
  <si>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26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</si>
  <si>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定位</t>
    </r>
    <r>
      <rPr>
        <sz val="11"/>
        <color rgb="FF000000"/>
        <rFont val="Calibri"/>
        <family val="2"/>
        <charset val="1"/>
      </rPr>
      <t xml:space="preserve">-SLAM(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</si>
  <si>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t xml:space="preserve">跑通数据集序列</t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</si>
  <si>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M7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</si>
  <si>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Noto Sans SC"/>
        <family val="2"/>
        <charset val="1"/>
      </rPr>
      <t xml:space="preserve">项目合流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</si>
  <si>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</si>
  <si>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🚩 决策点</t>
  </si>
  <si>
    <r>
      <rPr>
        <sz val="11"/>
        <color rgb="FF000000"/>
        <rFont val="Noto Sans SC"/>
        <family val="2"/>
        <charset val="1"/>
      </rPr>
      <t xml:space="preserve">确认机载算力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SC"/>
        <family val="2"/>
        <charset val="1"/>
      </rPr>
      <t xml:space="preserve">数据来源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SC"/>
        <family val="2"/>
        <charset val="1"/>
      </rPr>
      <t xml:space="preserve">项目验收形式</t>
    </r>
  </si>
  <si>
    <t xml:space="preserve">三项决策书面确认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</si>
  <si>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</si>
  <si>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数据准备</t>
  </si>
  <si>
    <t xml:space="preserve">数据集采集与标注流程；标注工具选型</t>
  </si>
  <si>
    <t xml:space="preserve">标注流程可用，产出首批标注数据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</si>
  <si>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</si>
  <si>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pipeline </t>
    </r>
    <r>
      <rPr>
        <sz val="11"/>
        <color rgb="FF000000"/>
        <rFont val="Noto Sans SC"/>
        <family val="2"/>
        <charset val="1"/>
      </rPr>
      <t xml:space="preserve">搭建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</si>
  <si>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视频流读取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检测推理封装</t>
    </r>
  </si>
  <si>
    <t xml:space="preserve">离线视频能输出检测框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</si>
  <si>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</si>
  <si>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pipeline </t>
    </r>
    <r>
      <rPr>
        <sz val="11"/>
        <color rgb="FF000000"/>
        <rFont val="Noto Sans SC"/>
        <family val="2"/>
        <charset val="1"/>
      </rPr>
      <t xml:space="preserve">搭建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</si>
  <si>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跟踪器接入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输出格式定义</t>
    </r>
  </si>
  <si>
    <r>
      <rPr>
        <sz val="11"/>
        <color rgb="FF000000"/>
        <rFont val="Noto Sans SC"/>
        <family val="2"/>
        <charset val="1"/>
      </rPr>
      <t xml:space="preserve">输出目标坐标</t>
    </r>
    <r>
      <rPr>
        <sz val="11"/>
        <color rgb="FF000000"/>
        <rFont val="Calibri"/>
        <family val="2"/>
        <charset val="1"/>
      </rPr>
      <t xml:space="preserve">/ID/</t>
    </r>
    <r>
      <rPr>
        <sz val="11"/>
        <color rgb="FF000000"/>
        <rFont val="Noto Sans SC"/>
        <family val="2"/>
        <charset val="1"/>
      </rPr>
      <t xml:space="preserve">置信度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</si>
  <si>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</si>
  <si>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pipeline </t>
    </r>
    <r>
      <rPr>
        <sz val="11"/>
        <color rgb="FF000000"/>
        <rFont val="Noto Sans SC"/>
        <family val="2"/>
        <charset val="1"/>
      </rPr>
      <t xml:space="preserve">实时化</t>
    </r>
  </si>
  <si>
    <t xml:space="preserve">上实时推理；帧率与延迟测量</t>
  </si>
  <si>
    <t xml:space="preserve">有帧率与延迟基线数据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</si>
  <si>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</si>
  <si>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pipeline </t>
    </r>
    <r>
      <rPr>
        <sz val="11"/>
        <color rgb="FF000000"/>
        <rFont val="Noto Sans SC"/>
        <family val="2"/>
        <charset val="1"/>
      </rPr>
      <t xml:space="preserve">工程化</t>
    </r>
  </si>
  <si>
    <t xml:space="preserve">整理为可运行仓库；建立评估脚本</t>
  </si>
  <si>
    <t xml:space="preserve">一键运行脚本可用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</si>
  <si>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33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</si>
  <si>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联调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</si>
  <si>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t xml:space="preserve">仿真或实机联调</t>
  </si>
  <si>
    <t xml:space="preserve">端到端链路连通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</si>
  <si>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34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</si>
  <si>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联调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SC"/>
        <family val="2"/>
        <charset val="1"/>
      </rPr>
      <t xml:space="preserve">与部署</t>
    </r>
  </si>
  <si>
    <r>
      <rPr>
        <sz val="11"/>
        <color rgb="FF000000"/>
        <rFont val="Noto Sans SC"/>
        <family val="2"/>
        <charset val="1"/>
      </rPr>
      <t xml:space="preserve">模型量化；导出 </t>
    </r>
    <r>
      <rPr>
        <sz val="11"/>
        <color rgb="FF000000"/>
        <rFont val="Calibri"/>
        <family val="2"/>
        <charset val="1"/>
      </rPr>
      <t xml:space="preserve">TensorRT/ONNX/OpenVINO</t>
    </r>
  </si>
  <si>
    <t xml:space="preserve">部署版可运行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</si>
  <si>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</si>
  <si>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优化</t>
  </si>
  <si>
    <r>
      <rPr>
        <sz val="11"/>
        <color rgb="FF000000"/>
        <rFont val="Noto Sans SC"/>
        <family val="2"/>
        <charset val="1"/>
      </rPr>
      <t xml:space="preserve">延迟与帧率优化；失败场景记录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逆光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小目标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遮挡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快动</t>
    </r>
    <r>
      <rPr>
        <sz val="11"/>
        <color rgb="FF000000"/>
        <rFont val="Calibri"/>
        <family val="2"/>
        <charset val="1"/>
      </rPr>
      <t xml:space="preserve">)</t>
    </r>
  </si>
  <si>
    <t xml:space="preserve">有完整失败案例分析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</si>
  <si>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36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</si>
  <si>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M8 </t>
    </r>
    <r>
      <rPr>
        <sz val="11"/>
        <color rgb="FF000000"/>
        <rFont val="Noto Sans SC"/>
        <family val="2"/>
        <charset val="1"/>
      </rPr>
      <t xml:space="preserve">收口</t>
    </r>
  </si>
  <si>
    <t xml:space="preserve">整理实测精度与帧率数据</t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</si>
  <si>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M8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</si>
  <si>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Noto Sans SC"/>
        <family val="2"/>
        <charset val="1"/>
      </rPr>
      <t xml:space="preserve">结题产出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</si>
  <si>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</si>
  <si>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仓库整理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</si>
  <si>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README</t>
    </r>
    <r>
      <rPr>
        <sz val="11"/>
        <color rgb="FF000000"/>
        <rFont val="Noto Sans SC"/>
        <family val="2"/>
        <charset val="1"/>
      </rPr>
      <t xml:space="preserve">；环境文件；目录结构规范化</t>
    </r>
  </si>
  <si>
    <t xml:space="preserve">他人能读懂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</si>
  <si>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38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</si>
  <si>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仓库整理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</si>
  <si>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t xml:space="preserve">一键运行脚本；预训练权重；示例数据</t>
  </si>
  <si>
    <t xml:space="preserve">仓库可由他人直接运行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</si>
  <si>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</si>
  <si>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复现报告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</si>
  <si>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t xml:space="preserve">整理全部偏差归因；复现日志汇总</t>
  </si>
  <si>
    <t xml:space="preserve">报告初稿完成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</si>
  <si>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</si>
  <si>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Noto Sans SC"/>
        <family val="2"/>
        <charset val="1"/>
      </rPr>
      <t xml:space="preserve">复现报告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</si>
  <si>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结题报告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论文素材整理</t>
    </r>
  </si>
  <si>
    <t xml:space="preserve">报告完成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</si>
  <si>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41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</si>
  <si>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L4 </t>
    </r>
    <r>
      <rPr>
        <sz val="11"/>
        <color rgb="FF000000"/>
        <rFont val="Noto Sans SC"/>
        <family val="2"/>
        <charset val="1"/>
      </rPr>
      <t xml:space="preserve">冲刺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上</t>
    </r>
    <r>
      <rPr>
        <sz val="11"/>
        <color rgb="FF000000"/>
        <rFont val="Calibri"/>
        <family val="2"/>
        <charset val="1"/>
      </rPr>
      <t xml:space="preserve">)</t>
    </r>
  </si>
  <si>
    <t xml:space="preserve">从零实现检测头</t>
  </si>
  <si>
    <t xml:space="preserve">自实现可训练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</si>
  <si>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42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</si>
  <si>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L4 </t>
    </r>
    <r>
      <rPr>
        <sz val="11"/>
        <color rgb="FF000000"/>
        <rFont val="Noto Sans SC"/>
        <family val="2"/>
        <charset val="1"/>
      </rPr>
      <t xml:space="preserve">冲刺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中</t>
    </r>
    <r>
      <rPr>
        <sz val="11"/>
        <color rgb="FF000000"/>
        <rFont val="Calibri"/>
        <family val="2"/>
        <charset val="1"/>
      </rPr>
      <t xml:space="preserve">)</t>
    </r>
  </si>
  <si>
    <t xml:space="preserve">从零实现跟踪关联模块</t>
  </si>
  <si>
    <t xml:space="preserve">自实现可运行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</si>
  <si>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</si>
  <si>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L4 </t>
    </r>
    <r>
      <rPr>
        <sz val="11"/>
        <color rgb="FF000000"/>
        <rFont val="Noto Sans SC"/>
        <family val="2"/>
        <charset val="1"/>
      </rPr>
      <t xml:space="preserve">冲刺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下</t>
    </r>
    <r>
      <rPr>
        <sz val="11"/>
        <color rgb="FF000000"/>
        <rFont val="Calibri"/>
        <family val="2"/>
        <charset val="1"/>
      </rPr>
      <t xml:space="preserve">)</t>
    </r>
  </si>
  <si>
    <t xml:space="preserve">与原实现正面对比</t>
  </si>
  <si>
    <t xml:space="preserve">有量化对比结论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</si>
  <si>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</si>
  <si>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收尾</t>
  </si>
  <si>
    <r>
      <rPr>
        <sz val="11"/>
        <color rgb="FF000000"/>
        <rFont val="Noto Sans SC"/>
        <family val="2"/>
        <charset val="1"/>
      </rPr>
      <t xml:space="preserve">同学盲测 </t>
    </r>
    <r>
      <rPr>
        <sz val="11"/>
        <color rgb="FF000000"/>
        <rFont val="Calibri"/>
        <family val="2"/>
        <charset val="1"/>
      </rPr>
      <t xml:space="preserve">README</t>
    </r>
    <r>
      <rPr>
        <sz val="11"/>
        <color rgb="FF000000"/>
        <rFont val="Noto Sans SC"/>
        <family val="2"/>
        <charset val="1"/>
      </rPr>
      <t xml:space="preserve">；答辩演示准备</t>
    </r>
  </si>
  <si>
    <r>
      <rPr>
        <sz val="11"/>
        <color rgb="FF000000"/>
        <rFont val="Noto Sans SC"/>
        <family val="2"/>
        <charset val="1"/>
      </rPr>
      <t xml:space="preserve">达成 </t>
    </r>
    <r>
      <rPr>
        <sz val="11"/>
        <color rgb="FF000000"/>
        <rFont val="Calibri"/>
        <family val="2"/>
        <charset val="1"/>
      </rPr>
      <t xml:space="preserve">M9</t>
    </r>
  </si>
  <si>
    <r>
      <rPr>
        <b val="true"/>
        <sz val="11"/>
        <color rgb="FFFFFFFF"/>
        <rFont val="Noto Sans SC"/>
        <family val="2"/>
        <charset val="1"/>
      </rPr>
      <t xml:space="preserve">计划投入</t>
    </r>
    <r>
      <rPr>
        <b val="true"/>
        <sz val="11"/>
        <color rgb="FFFFFFFF"/>
        <rFont val="Cambria"/>
        <family val="0"/>
        <charset val="1"/>
      </rPr>
      <t xml:space="preserve">(h)</t>
    </r>
  </si>
  <si>
    <r>
      <rPr>
        <b val="true"/>
        <sz val="11"/>
        <color rgb="FFFFFFFF"/>
        <rFont val="Noto Sans SC"/>
        <family val="2"/>
        <charset val="1"/>
      </rPr>
      <t xml:space="preserve">实际投入</t>
    </r>
    <r>
      <rPr>
        <b val="true"/>
        <sz val="11"/>
        <color rgb="FFFFFFFF"/>
        <rFont val="Cambria"/>
        <family val="0"/>
        <charset val="1"/>
      </rPr>
      <t xml:space="preserve">(h)</t>
    </r>
  </si>
  <si>
    <r>
      <rPr>
        <b val="true"/>
        <sz val="11"/>
        <color rgb="FFFFFFFF"/>
        <rFont val="Noto Sans SC"/>
        <family val="2"/>
        <charset val="1"/>
      </rPr>
      <t xml:space="preserve">是否达保底线</t>
    </r>
    <r>
      <rPr>
        <b val="true"/>
        <sz val="11"/>
        <color rgb="FFFFFFFF"/>
        <rFont val="Cambria"/>
        <family val="0"/>
        <charset val="1"/>
      </rPr>
      <t xml:space="preserve">(≥4h)</t>
    </r>
  </si>
  <si>
    <r>
      <rPr>
        <b val="true"/>
        <sz val="11"/>
        <color rgb="FFFFFFFF"/>
        <rFont val="Noto Sans SC"/>
        <family val="2"/>
        <charset val="1"/>
      </rPr>
      <t xml:space="preserve">本周产出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  <charset val="1"/>
      </rPr>
      <t xml:space="preserve">链接</t>
    </r>
  </si>
  <si>
    <t xml:space="preserve">卡点</t>
  </si>
  <si>
    <t xml:space="preserve">下周调整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</si>
  <si>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  <charset val="1"/>
      </rPr>
      <t xml:space="preserve">周</t>
    </r>
  </si>
  <si>
    <r>
      <rPr>
        <sz val="11"/>
        <color rgb="FF000000"/>
        <rFont val="Calibri"/>
        <family val="2"/>
        <charset val="1"/>
      </rPr>
      <t xml:space="preserve">Ubuntu 22.04 </t>
    </r>
    <r>
      <rPr>
        <sz val="11"/>
        <color rgb="FF000000"/>
        <rFont val="Noto Sans SC"/>
        <family val="2"/>
        <charset val="1"/>
      </rPr>
      <t xml:space="preserve">双系统安装完成；</t>
    </r>
    <r>
      <rPr>
        <sz val="11"/>
        <color rgb="FF000000"/>
        <rFont val="Calibri"/>
        <family val="2"/>
        <charset val="1"/>
      </rPr>
      <t xml:space="preserve">miniconda </t>
    </r>
    <r>
      <rPr>
        <sz val="11"/>
        <color rgb="FF000000"/>
        <rFont val="Noto Sans SC"/>
        <family val="2"/>
        <charset val="1"/>
      </rPr>
      <t xml:space="preserve">安装完成</t>
    </r>
  </si>
  <si>
    <r>
      <rPr>
        <sz val="11"/>
        <color rgb="FF000000"/>
        <rFont val="Calibri"/>
        <family val="2"/>
        <charset val="1"/>
      </rPr>
      <t xml:space="preserve">Ubuntu </t>
    </r>
    <r>
      <rPr>
        <sz val="11"/>
        <color rgb="FF000000"/>
        <rFont val="Noto Sans SC"/>
        <family val="2"/>
        <charset val="1"/>
      </rPr>
      <t xml:space="preserve">自带源 </t>
    </r>
    <r>
      <rPr>
        <sz val="11"/>
        <color rgb="FF000000"/>
        <rFont val="Calibri"/>
        <family val="2"/>
        <charset val="1"/>
      </rPr>
      <t xml:space="preserve">NVIDIA </t>
    </r>
    <r>
      <rPr>
        <sz val="11"/>
        <color rgb="FF000000"/>
        <rFont val="Noto Sans SC"/>
        <family val="2"/>
        <charset val="1"/>
      </rPr>
      <t xml:space="preserve">驱动版本过旧（</t>
    </r>
    <r>
      <rPr>
        <sz val="11"/>
        <color rgb="FF000000"/>
        <rFont val="Calibri"/>
        <family val="2"/>
        <charset val="1"/>
      </rPr>
      <t xml:space="preserve">&lt;570</t>
    </r>
    <r>
      <rPr>
        <sz val="11"/>
        <color rgb="FF000000"/>
        <rFont val="Noto Sans SC"/>
        <family val="2"/>
        <charset val="1"/>
      </rPr>
      <t xml:space="preserve">），需添加 </t>
    </r>
    <r>
      <rPr>
        <sz val="11"/>
        <color rgb="FF000000"/>
        <rFont val="Calibri"/>
        <family val="2"/>
        <charset val="1"/>
      </rPr>
      <t xml:space="preserve">NVIDIA </t>
    </r>
    <r>
      <rPr>
        <sz val="11"/>
        <color rgb="FF000000"/>
        <rFont val="Noto Sans SC"/>
        <family val="2"/>
        <charset val="1"/>
      </rPr>
      <t xml:space="preserve">官方 </t>
    </r>
    <r>
      <rPr>
        <sz val="11"/>
        <color rgb="FF000000"/>
        <rFont val="Calibri"/>
        <family val="2"/>
        <charset val="1"/>
      </rPr>
      <t xml:space="preserve">apt </t>
    </r>
    <r>
      <rPr>
        <sz val="11"/>
        <color rgb="FF000000"/>
        <rFont val="Noto Sans SC"/>
        <family val="2"/>
        <charset val="1"/>
      </rPr>
      <t xml:space="preserve">源</t>
    </r>
  </si>
  <si>
    <r>
      <rPr>
        <sz val="11"/>
        <color rgb="FF000000"/>
        <rFont val="Noto Sans SC"/>
        <family val="2"/>
        <charset val="1"/>
      </rPr>
      <t xml:space="preserve">先确认驱动版本再建环境；环境名 </t>
    </r>
    <r>
      <rPr>
        <sz val="11"/>
        <color rgb="FF000000"/>
        <rFont val="Calibri"/>
        <family val="2"/>
        <charset val="1"/>
      </rPr>
      <t xml:space="preserve">dl</t>
    </r>
    <r>
      <rPr>
        <sz val="11"/>
        <color rgb="FF000000"/>
        <rFont val="Noto Sans SC"/>
        <family val="2"/>
        <charset val="1"/>
      </rPr>
      <t xml:space="preserve">，</t>
    </r>
    <r>
      <rPr>
        <sz val="11"/>
        <color rgb="FF000000"/>
        <rFont val="Calibri"/>
        <family val="2"/>
        <charset val="1"/>
      </rPr>
      <t xml:space="preserve">Python 3.11</t>
    </r>
    <r>
      <rPr>
        <sz val="11"/>
        <color rgb="FF000000"/>
        <rFont val="Noto Sans SC"/>
        <family val="2"/>
        <charset val="1"/>
      </rPr>
      <t xml:space="preserve">，</t>
    </r>
    <r>
      <rPr>
        <sz val="11"/>
        <color rgb="FF000000"/>
        <rFont val="Calibri"/>
        <family val="2"/>
        <charset val="1"/>
      </rPr>
      <t xml:space="preserve">torch </t>
    </r>
    <r>
      <rPr>
        <sz val="11"/>
        <color rgb="FF000000"/>
        <rFont val="Noto Sans SC"/>
        <family val="2"/>
        <charset val="1"/>
      </rPr>
      <t xml:space="preserve">走 </t>
    </r>
    <r>
      <rPr>
        <sz val="11"/>
        <color rgb="FF000000"/>
        <rFont val="Calibri"/>
        <family val="2"/>
        <charset val="1"/>
      </rPr>
      <t xml:space="preserve">cu128 </t>
    </r>
    <r>
      <rPr>
        <sz val="11"/>
        <color rgb="FF000000"/>
        <rFont val="Noto Sans SC"/>
        <family val="2"/>
        <charset val="1"/>
      </rPr>
      <t xml:space="preserve">索引</t>
    </r>
  </si>
  <si>
    <t xml:space="preserve">仓库名</t>
  </si>
  <si>
    <t xml:space="preserve">URL</t>
  </si>
  <si>
    <t xml:space="preserve">领域</t>
  </si>
  <si>
    <t xml:space="preserve">计划周次</t>
  </si>
  <si>
    <t xml:space="preserve">环境是否建成功</t>
  </si>
  <si>
    <t xml:space="preserve">是否跑通</t>
  </si>
  <si>
    <t xml:space="preserve">目标等级</t>
  </si>
  <si>
    <t xml:space="preserve">实际等级</t>
  </si>
  <si>
    <t xml:space="preserve">复现指标</t>
  </si>
  <si>
    <t xml:space="preserve">原报告指标</t>
  </si>
  <si>
    <t xml:space="preserve">偏差归因</t>
  </si>
  <si>
    <t xml:space="preserve">我的修改</t>
  </si>
  <si>
    <t xml:space="preserve">关键收获</t>
  </si>
  <si>
    <t xml:space="preserve">ultralytics/ultralytics</t>
  </si>
  <si>
    <t xml:space="preserve">https://github.com/ultralytics/ultralytics</t>
  </si>
  <si>
    <t xml:space="preserve">检测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</si>
  <si>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15-16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</si>
  <si>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facebookresearch/detr</t>
  </si>
  <si>
    <t xml:space="preserve">https://github.com/facebookresearch/detr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</si>
  <si>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17-18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</si>
  <si>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ifzhang/ByteTrack</t>
  </si>
  <si>
    <t xml:space="preserve">https://github.com/ifzhang/ByteTrack</t>
  </si>
  <si>
    <t xml:space="preserve">跟踪</t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</si>
  <si>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19-22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</si>
  <si>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NirAharon/BoT-SORT</t>
  </si>
  <si>
    <t xml:space="preserve">https://github.com/NirAharon/BoT-SORT</t>
  </si>
  <si>
    <r>
      <rPr>
        <sz val="11"/>
        <color rgb="FF000000"/>
        <rFont val="Noto Sans SC"/>
        <family val="2"/>
        <charset val="1"/>
      </rPr>
      <t xml:space="preserve">跟踪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备选</t>
    </r>
    <r>
      <rPr>
        <sz val="11"/>
        <color rgb="FF000000"/>
        <rFont val="Calibri"/>
        <family val="2"/>
        <charset val="1"/>
      </rPr>
      <t xml:space="preserve">)</t>
    </r>
  </si>
  <si>
    <t xml:space="preserve">DepthAnything/Depth-Anything-V2</t>
  </si>
  <si>
    <t xml:space="preserve">https://github.com/DepthAnything/Depth-Anything-V2</t>
  </si>
  <si>
    <r>
      <rPr>
        <sz val="11"/>
        <color rgb="FF000000"/>
        <rFont val="Noto Sans SC"/>
        <family val="2"/>
        <charset val="1"/>
      </rPr>
      <t xml:space="preserve">深度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定位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</si>
  <si>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23-24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</si>
  <si>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UZ-SLAMLab/ORB_SLAM3</t>
  </si>
  <si>
    <t xml:space="preserve">https://github.com/UZ-SLAMLab/ORB_SLAM3</t>
  </si>
  <si>
    <r>
      <rPr>
        <sz val="11"/>
        <color rgb="FF000000"/>
        <rFont val="Calibri"/>
        <family val="2"/>
        <charset val="1"/>
      </rPr>
      <t xml:space="preserve">SLAM(</t>
    </r>
    <r>
      <rPr>
        <sz val="11"/>
        <color rgb="FF000000"/>
        <rFont val="Noto Sans SC"/>
        <family val="2"/>
        <charset val="1"/>
      </rPr>
      <t xml:space="preserve">可选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</si>
  <si>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SC"/>
        <family val="2"/>
        <charset val="1"/>
      </rPr>
      <t xml:space="preserve">第</t>
    </r>
    <r>
      <rPr>
        <sz val="11"/>
        <color rgb="FF000000"/>
        <rFont val="Calibri"/>
        <family val="2"/>
        <charset val="1"/>
      </rPr>
      <t xml:space="preserve">25-26</t>
    </r>
    <r>
      <rPr>
        <sz val="11"/>
        <color rgb="FF000000"/>
        <rFont val="Noto Sans SC"/>
        <family val="2"/>
        <charset val="1"/>
      </rPr>
      <t xml:space="preserve">周</t>
    </r>
  </si>
  <si>
    <t xml:space="preserve">facebookresearch/sam2</t>
  </si>
  <si>
    <t xml:space="preserve">https://github.com/facebookresearch/sam2</t>
  </si>
  <si>
    <r>
      <rPr>
        <sz val="11"/>
        <color rgb="FF000000"/>
        <rFont val="Noto Sans SC"/>
        <family val="2"/>
        <charset val="1"/>
      </rPr>
      <t xml:space="preserve">分割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加餐</t>
    </r>
    <r>
      <rPr>
        <sz val="11"/>
        <color rgb="FF000000"/>
        <rFont val="Calibri"/>
        <family val="2"/>
        <charset val="1"/>
      </rPr>
      <t xml:space="preserve">)</t>
    </r>
  </si>
  <si>
    <t xml:space="preserve">按需</t>
  </si>
  <si>
    <t xml:space="preserve">编号</t>
  </si>
  <si>
    <t xml:space="preserve">里程碑</t>
  </si>
  <si>
    <t xml:space="preserve">截止周</t>
  </si>
  <si>
    <t xml:space="preserve">实际达成周</t>
  </si>
  <si>
    <t xml:space="preserve">M0</t>
  </si>
  <si>
    <t xml:space="preserve">环境救火完成</t>
  </si>
  <si>
    <r>
      <rPr>
        <sz val="11"/>
        <color rgb="FF000000"/>
        <rFont val="Calibri"/>
        <family val="2"/>
        <charset val="1"/>
      </rPr>
      <t xml:space="preserve">cuda.is_available()==True</t>
    </r>
    <r>
      <rPr>
        <sz val="11"/>
        <color rgb="FF000000"/>
        <rFont val="Noto Sans SC"/>
        <family val="2"/>
        <charset val="1"/>
      </rPr>
      <t xml:space="preserve">；</t>
    </r>
    <r>
      <rPr>
        <sz val="11"/>
        <color rgb="FF000000"/>
        <rFont val="Calibri"/>
        <family val="2"/>
        <charset val="1"/>
      </rPr>
      <t xml:space="preserve">GPU </t>
    </r>
    <r>
      <rPr>
        <sz val="11"/>
        <color rgb="FF000000"/>
        <rFont val="Noto Sans SC"/>
        <family val="2"/>
        <charset val="1"/>
      </rPr>
      <t xml:space="preserve">利用率</t>
    </r>
    <r>
      <rPr>
        <sz val="11"/>
        <color rgb="FF000000"/>
        <rFont val="Calibri"/>
        <family val="2"/>
        <charset val="1"/>
      </rPr>
      <t xml:space="preserve">&gt;50%</t>
    </r>
    <r>
      <rPr>
        <sz val="11"/>
        <color rgb="FF000000"/>
        <rFont val="Noto Sans SC"/>
        <family val="2"/>
        <charset val="1"/>
      </rPr>
      <t xml:space="preserve">；</t>
    </r>
    <r>
      <rPr>
        <sz val="11"/>
        <color rgb="FF000000"/>
        <rFont val="Calibri"/>
        <family val="2"/>
        <charset val="1"/>
      </rPr>
      <t xml:space="preserve">torchvision </t>
    </r>
    <r>
      <rPr>
        <sz val="11"/>
        <color rgb="FF000000"/>
        <rFont val="Noto Sans SC"/>
        <family val="2"/>
        <charset val="1"/>
      </rPr>
      <t xml:space="preserve">可用</t>
    </r>
  </si>
  <si>
    <r>
      <rPr>
        <sz val="11"/>
        <color rgb="FF000000"/>
        <rFont val="Calibri"/>
        <family val="2"/>
        <charset val="1"/>
      </rPr>
      <t xml:space="preserve">Ubuntu </t>
    </r>
    <r>
      <rPr>
        <sz val="11"/>
        <color rgb="FF000000"/>
        <rFont val="Noto Sans SC"/>
        <family val="2"/>
        <charset val="1"/>
      </rPr>
      <t xml:space="preserve">双系统与 </t>
    </r>
    <r>
      <rPr>
        <sz val="11"/>
        <color rgb="FF000000"/>
        <rFont val="Calibri"/>
        <family val="2"/>
        <charset val="1"/>
      </rPr>
      <t xml:space="preserve">miniconda </t>
    </r>
    <r>
      <rPr>
        <sz val="11"/>
        <color rgb="FF000000"/>
        <rFont val="Noto Sans SC"/>
        <family val="2"/>
        <charset val="1"/>
      </rPr>
      <t xml:space="preserve">已完成；驱动与 </t>
    </r>
    <r>
      <rPr>
        <sz val="11"/>
        <color rgb="FF000000"/>
        <rFont val="Calibri"/>
        <family val="2"/>
        <charset val="1"/>
      </rPr>
      <t xml:space="preserve">PyTorch </t>
    </r>
    <r>
      <rPr>
        <sz val="11"/>
        <color rgb="FF000000"/>
        <rFont val="Noto Sans SC"/>
        <family val="2"/>
        <charset val="1"/>
      </rPr>
      <t xml:space="preserve">待装</t>
    </r>
  </si>
  <si>
    <t xml:space="preserve">M1</t>
  </si>
  <si>
    <t xml:space="preserve">训练循环掌握</t>
  </si>
  <si>
    <r>
      <rPr>
        <sz val="11"/>
        <color rgb="FF000000"/>
        <rFont val="Noto Sans SC"/>
        <family val="2"/>
        <charset val="1"/>
      </rPr>
      <t xml:space="preserve">能独立写完整训练循环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过拟合单 </t>
    </r>
    <r>
      <rPr>
        <sz val="11"/>
        <color rgb="FF000000"/>
        <rFont val="Calibri"/>
        <family val="2"/>
        <charset val="1"/>
      </rPr>
      <t xml:space="preserve">batch + debug_checklist.md</t>
    </r>
  </si>
  <si>
    <t xml:space="preserve">M2</t>
  </si>
  <si>
    <t xml:space="preserve">会训模型</t>
  </si>
  <si>
    <r>
      <rPr>
        <sz val="11"/>
        <color rgb="FF000000"/>
        <rFont val="Calibri"/>
        <family val="2"/>
        <charset val="1"/>
      </rPr>
      <t xml:space="preserve">CIFAR-10 </t>
    </r>
    <r>
      <rPr>
        <sz val="11"/>
        <color rgb="FF000000"/>
        <rFont val="Noto Sans SC"/>
        <family val="2"/>
        <charset val="1"/>
      </rPr>
      <t xml:space="preserve">自写 </t>
    </r>
    <r>
      <rPr>
        <sz val="11"/>
        <color rgb="FF000000"/>
        <rFont val="Calibri"/>
        <family val="2"/>
        <charset val="1"/>
      </rPr>
      <t xml:space="preserve">ResNet-18 top-1 ≥ 93%</t>
    </r>
    <r>
      <rPr>
        <sz val="11"/>
        <color rgb="FF000000"/>
        <rFont val="Noto Sans SC"/>
        <family val="2"/>
        <charset val="1"/>
      </rPr>
      <t xml:space="preserve">，单卡 </t>
    </r>
    <r>
      <rPr>
        <sz val="11"/>
        <color rgb="FF000000"/>
        <rFont val="Calibri"/>
        <family val="2"/>
        <charset val="1"/>
      </rPr>
      <t xml:space="preserve">&lt;30 </t>
    </r>
    <r>
      <rPr>
        <sz val="11"/>
        <color rgb="FF000000"/>
        <rFont val="Noto Sans SC"/>
        <family val="2"/>
        <charset val="1"/>
      </rPr>
      <t xml:space="preserve">分钟</t>
    </r>
  </si>
  <si>
    <t xml:space="preserve">M4</t>
  </si>
  <si>
    <r>
      <rPr>
        <sz val="11"/>
        <color rgb="FF000000"/>
        <rFont val="Noto Sans SC"/>
        <family val="2"/>
        <charset val="1"/>
      </rPr>
      <t xml:space="preserve">会换</t>
    </r>
    <r>
      <rPr>
        <sz val="11"/>
        <color rgb="FF000000"/>
        <rFont val="Calibri"/>
        <family val="2"/>
        <charset val="1"/>
      </rPr>
      <t xml:space="preserve">(L2)</t>
    </r>
  </si>
  <si>
    <r>
      <rPr>
        <sz val="11"/>
        <color rgb="FF000000"/>
        <rFont val="Noto Sans SC"/>
        <family val="2"/>
        <charset val="1"/>
      </rPr>
      <t xml:space="preserve">替换 </t>
    </r>
    <r>
      <rPr>
        <sz val="11"/>
        <color rgb="FF000000"/>
        <rFont val="Calibri"/>
        <family val="2"/>
        <charset val="1"/>
      </rPr>
      <t xml:space="preserve">backbone/</t>
    </r>
    <r>
      <rPr>
        <sz val="11"/>
        <color rgb="FF000000"/>
        <rFont val="Noto Sans SC"/>
        <family val="2"/>
        <charset val="1"/>
      </rPr>
      <t xml:space="preserve">数据集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损失函数各一次且仍收敛</t>
    </r>
  </si>
  <si>
    <t xml:space="preserve">M3</t>
  </si>
  <si>
    <r>
      <rPr>
        <sz val="11"/>
        <color rgb="FF000000"/>
        <rFont val="Noto Sans SC"/>
        <family val="2"/>
        <charset val="1"/>
      </rPr>
      <t xml:space="preserve">会复现</t>
    </r>
    <r>
      <rPr>
        <sz val="11"/>
        <color rgb="FF000000"/>
        <rFont val="Calibri"/>
        <family val="2"/>
        <charset val="1"/>
      </rPr>
      <t xml:space="preserve">(L3)</t>
    </r>
  </si>
  <si>
    <r>
      <rPr>
        <sz val="11"/>
        <color rgb="FF000000"/>
        <rFont val="Noto Sans SC"/>
        <family val="2"/>
        <charset val="1"/>
      </rPr>
      <t xml:space="preserve">陌生仓库跑出接近原报告指标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完整偏差归因表</t>
    </r>
  </si>
  <si>
    <t xml:space="preserve">M5</t>
  </si>
  <si>
    <t xml:space="preserve">检测落地</t>
  </si>
  <si>
    <r>
      <rPr>
        <sz val="11"/>
        <color rgb="FF000000"/>
        <rFont val="Noto Sans SC"/>
        <family val="2"/>
        <charset val="1"/>
      </rPr>
      <t xml:space="preserve">自建数据集完成训练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SC"/>
        <family val="2"/>
        <charset val="1"/>
      </rPr>
      <t xml:space="preserve">评估，能解释 </t>
    </r>
    <r>
      <rPr>
        <sz val="11"/>
        <color rgb="FF000000"/>
        <rFont val="Calibri"/>
        <family val="2"/>
        <charset val="1"/>
      </rPr>
      <t xml:space="preserve">mAP/IoU/NMS/</t>
    </r>
    <r>
      <rPr>
        <sz val="11"/>
        <color rgb="FF000000"/>
        <rFont val="Noto Sans SC"/>
        <family val="2"/>
        <charset val="1"/>
      </rPr>
      <t xml:space="preserve">样本分配</t>
    </r>
  </si>
  <si>
    <t xml:space="preserve">M6</t>
  </si>
  <si>
    <t xml:space="preserve">跟踪落地</t>
  </si>
  <si>
    <r>
      <rPr>
        <sz val="11"/>
        <color rgb="FF000000"/>
        <rFont val="Noto Sans SC"/>
        <family val="2"/>
        <charset val="1"/>
      </rPr>
      <t xml:space="preserve">自训检测器 </t>
    </r>
    <r>
      <rPr>
        <sz val="11"/>
        <color rgb="FF000000"/>
        <rFont val="Calibri"/>
        <family val="2"/>
        <charset val="1"/>
      </rPr>
      <t xml:space="preserve">+ ByteTrack/BoT-SORT</t>
    </r>
    <r>
      <rPr>
        <sz val="11"/>
        <color rgb="FF000000"/>
        <rFont val="Noto Sans SC"/>
        <family val="2"/>
        <charset val="1"/>
      </rPr>
      <t xml:space="preserve">，输出 </t>
    </r>
    <r>
      <rPr>
        <sz val="11"/>
        <color rgb="FF000000"/>
        <rFont val="Calibri"/>
        <family val="2"/>
        <charset val="1"/>
      </rPr>
      <t xml:space="preserve">MOTA/IDF1</t>
    </r>
  </si>
  <si>
    <t xml:space="preserve">M7</t>
  </si>
  <si>
    <t xml:space="preserve">定位落地</t>
  </si>
  <si>
    <r>
      <rPr>
        <sz val="11"/>
        <color rgb="FF000000"/>
        <rFont val="Noto Sans SC"/>
        <family val="2"/>
        <charset val="1"/>
      </rPr>
      <t xml:space="preserve">跑通位姿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  <charset val="1"/>
      </rPr>
      <t xml:space="preserve">深度或轻量 </t>
    </r>
    <r>
      <rPr>
        <sz val="11"/>
        <color rgb="FF000000"/>
        <rFont val="Calibri"/>
        <family val="2"/>
        <charset val="1"/>
      </rPr>
      <t xml:space="preserve">SLAM </t>
    </r>
    <r>
      <rPr>
        <sz val="11"/>
        <color rgb="FF000000"/>
        <rFont val="Noto Sans SC"/>
        <family val="2"/>
        <charset val="1"/>
      </rPr>
      <t xml:space="preserve">仓库并有可视化</t>
    </r>
  </si>
  <si>
    <t xml:space="preserve">M8</t>
  </si>
  <si>
    <t xml:space="preserve">项目合流</t>
  </si>
  <si>
    <r>
      <rPr>
        <sz val="11"/>
        <color rgb="FF000000"/>
        <rFont val="Noto Sans SC"/>
        <family val="2"/>
        <charset val="1"/>
      </rPr>
      <t xml:space="preserve">无人机视频流进 → 检测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SC"/>
        <family val="2"/>
        <charset val="1"/>
      </rPr>
      <t xml:space="preserve">跟踪出，有实测帧率与精度</t>
    </r>
  </si>
  <si>
    <t xml:space="preserve">M9</t>
  </si>
  <si>
    <t xml:space="preserve">结题</t>
  </si>
  <si>
    <r>
      <rPr>
        <sz val="11"/>
        <color rgb="FF000000"/>
        <rFont val="Noto Sans SC"/>
        <family val="2"/>
        <charset val="1"/>
      </rPr>
      <t xml:space="preserve">盲测通过 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SC"/>
        <family val="2"/>
        <charset val="1"/>
      </rPr>
      <t xml:space="preserve">结题材料齐备 </t>
    </r>
    <r>
      <rPr>
        <sz val="11"/>
        <color rgb="FF000000"/>
        <rFont val="Calibri"/>
        <family val="2"/>
        <charset val="1"/>
      </rPr>
      <t xml:space="preserve">+ L4 </t>
    </r>
    <r>
      <rPr>
        <sz val="11"/>
        <color rgb="FF000000"/>
        <rFont val="Noto Sans SC"/>
        <family val="2"/>
        <charset val="1"/>
      </rPr>
      <t xml:space="preserve">两个模块完成</t>
    </r>
  </si>
  <si>
    <t xml:space="preserve">里程碑统计</t>
  </si>
  <si>
    <r>
      <rPr>
        <b val="true"/>
        <sz val="11"/>
        <rFont val="Noto Sans SC"/>
        <family val="2"/>
        <charset val="1"/>
      </rPr>
      <t xml:space="preserve">已完成 </t>
    </r>
    <r>
      <rPr>
        <b val="true"/>
        <sz val="11"/>
        <rFont val="Cambria"/>
        <family val="0"/>
        <charset val="1"/>
      </rPr>
      <t xml:space="preserve">+ </t>
    </r>
    <r>
      <rPr>
        <b val="true"/>
        <sz val="11"/>
        <rFont val="Noto Sans SC"/>
        <family val="2"/>
        <charset val="1"/>
      </rPr>
      <t xml:space="preserve">进行中</t>
    </r>
  </si>
  <si>
    <t xml:space="preserve">延期</t>
  </si>
  <si>
    <t xml:space="preserve">完成率</t>
  </si>
  <si>
    <t xml:space="preserve">资源</t>
  </si>
  <si>
    <t xml:space="preserve">类型</t>
  </si>
  <si>
    <t xml:space="preserve">用途</t>
  </si>
  <si>
    <t xml:space="preserve">对应阶段</t>
  </si>
  <si>
    <t xml:space="preserve">优先级</t>
  </si>
  <si>
    <t xml:space="preserve">是否使用</t>
  </si>
  <si>
    <r>
      <rPr>
        <sz val="11"/>
        <color rgb="FF000000"/>
        <rFont val="Noto Sans SC"/>
        <family val="2"/>
        <charset val="1"/>
      </rPr>
      <t xml:space="preserve">动手学深度学习 </t>
    </r>
    <r>
      <rPr>
        <sz val="11"/>
        <color rgb="FF000000"/>
        <rFont val="Calibri"/>
        <family val="2"/>
        <charset val="1"/>
      </rPr>
      <t xml:space="preserve">d2l.ai</t>
    </r>
  </si>
  <si>
    <t xml:space="preserve">教材</t>
  </si>
  <si>
    <r>
      <rPr>
        <sz val="11"/>
        <color rgb="FF000000"/>
        <rFont val="Noto Sans SC"/>
        <family val="2"/>
        <charset val="1"/>
      </rPr>
      <t xml:space="preserve">中文，代码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SC"/>
        <family val="2"/>
        <charset val="1"/>
      </rPr>
      <t xml:space="preserve">理论兼顾，阶段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  <charset val="1"/>
      </rPr>
      <t xml:space="preserve">主教材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</si>
  <si>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1</t>
    </r>
  </si>
  <si>
    <t xml:space="preserve">高</t>
  </si>
  <si>
    <r>
      <rPr>
        <sz val="11"/>
        <color rgb="FF000000"/>
        <rFont val="Calibri"/>
        <family val="2"/>
        <charset val="1"/>
      </rPr>
      <t xml:space="preserve">3Blue1Brown </t>
    </r>
    <r>
      <rPr>
        <sz val="11"/>
        <color rgb="FF000000"/>
        <rFont val="Noto Sans SC"/>
        <family val="2"/>
        <charset val="1"/>
      </rPr>
      <t xml:space="preserve">深度学习系列</t>
    </r>
  </si>
  <si>
    <t xml:space="preserve">视频</t>
  </si>
  <si>
    <r>
      <rPr>
        <sz val="11"/>
        <color rgb="FF000000"/>
        <rFont val="Noto Sans SC"/>
        <family val="2"/>
        <charset val="1"/>
      </rPr>
      <t xml:space="preserve">建立直觉，配合第</t>
    </r>
    <r>
      <rPr>
        <sz val="11"/>
        <color rgb="FF000000"/>
        <rFont val="Calibri"/>
        <family val="2"/>
        <charset val="1"/>
      </rPr>
      <t xml:space="preserve">7-8</t>
    </r>
    <r>
      <rPr>
        <sz val="11"/>
        <color rgb="FF000000"/>
        <rFont val="Noto Sans SC"/>
        <family val="2"/>
        <charset val="1"/>
      </rPr>
      <t xml:space="preserve">周数学补课</t>
    </r>
  </si>
  <si>
    <r>
      <rPr>
        <sz val="11"/>
        <color rgb="FF000000"/>
        <rFont val="Calibri"/>
        <family val="2"/>
        <charset val="1"/>
      </rPr>
      <t xml:space="preserve">PyTorch </t>
    </r>
    <r>
      <rPr>
        <sz val="11"/>
        <color rgb="FF000000"/>
        <rFont val="Noto Sans SC"/>
        <family val="2"/>
        <charset val="1"/>
      </rPr>
      <t xml:space="preserve">官方教程</t>
    </r>
  </si>
  <si>
    <t xml:space="preserve">文档</t>
  </si>
  <si>
    <r>
      <rPr>
        <sz val="11"/>
        <color rgb="FF000000"/>
        <rFont val="Noto Sans SC"/>
        <family val="2"/>
        <charset val="1"/>
      </rPr>
      <t xml:space="preserve">权威 </t>
    </r>
    <r>
      <rPr>
        <sz val="11"/>
        <color rgb="FF000000"/>
        <rFont val="Calibri"/>
        <family val="2"/>
        <charset val="1"/>
      </rPr>
      <t xml:space="preserve">API </t>
    </r>
    <r>
      <rPr>
        <sz val="11"/>
        <color rgb="FF000000"/>
        <rFont val="Noto Sans SC"/>
        <family val="2"/>
        <charset val="1"/>
      </rPr>
      <t xml:space="preserve">参考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</si>
  <si>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1-2</t>
    </r>
  </si>
  <si>
    <t xml:space="preserve">是</t>
  </si>
  <si>
    <r>
      <rPr>
        <sz val="11"/>
        <color rgb="FF000000"/>
        <rFont val="Calibri"/>
        <family val="2"/>
        <charset val="1"/>
      </rPr>
      <t xml:space="preserve">pytorch.org </t>
    </r>
    <r>
      <rPr>
        <sz val="11"/>
        <color rgb="FF000000"/>
        <rFont val="Noto Sans SC"/>
        <family val="2"/>
        <charset val="1"/>
      </rPr>
      <t xml:space="preserve">安装页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选 </t>
    </r>
    <r>
      <rPr>
        <sz val="11"/>
        <color rgb="FF000000"/>
        <rFont val="Calibri"/>
        <family val="2"/>
        <charset val="1"/>
      </rPr>
      <t xml:space="preserve">CUDA 12.8)</t>
    </r>
  </si>
  <si>
    <t xml:space="preserve">工具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</si>
  <si>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Noto Sans SC"/>
        <family val="2"/>
        <charset val="1"/>
      </rPr>
      <t xml:space="preserve">装 </t>
    </r>
    <r>
      <rPr>
        <sz val="11"/>
        <color rgb="FF000000"/>
        <rFont val="Calibri"/>
        <family val="2"/>
        <charset val="1"/>
      </rPr>
      <t xml:space="preserve">CUDA </t>
    </r>
    <r>
      <rPr>
        <sz val="11"/>
        <color rgb="FF000000"/>
        <rFont val="Noto Sans SC"/>
        <family val="2"/>
        <charset val="1"/>
      </rPr>
      <t xml:space="preserve">版 </t>
    </r>
    <r>
      <rPr>
        <sz val="11"/>
        <color rgb="FF000000"/>
        <rFont val="Calibri"/>
        <family val="2"/>
        <charset val="1"/>
      </rPr>
      <t xml:space="preserve">torch</t>
    </r>
    <r>
      <rPr>
        <sz val="11"/>
        <color rgb="FF000000"/>
        <rFont val="Noto Sans SC"/>
        <family val="2"/>
        <charset val="1"/>
      </rPr>
      <t xml:space="preserve">，</t>
    </r>
    <r>
      <rPr>
        <sz val="11"/>
        <color rgb="FF000000"/>
        <rFont val="Calibri"/>
        <family val="2"/>
        <charset val="1"/>
      </rPr>
      <t xml:space="preserve">Blackwell </t>
    </r>
    <r>
      <rPr>
        <sz val="11"/>
        <color rgb="FF000000"/>
        <rFont val="Noto Sans SC"/>
        <family val="2"/>
        <charset val="1"/>
      </rPr>
      <t xml:space="preserve">必须 </t>
    </r>
    <r>
      <rPr>
        <sz val="11"/>
        <color rgb="FF000000"/>
        <rFont val="Calibri"/>
        <family val="2"/>
        <charset val="1"/>
      </rPr>
      <t xml:space="preserve">12.8+</t>
    </r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</si>
  <si>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</si>
  <si>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Noto Sans SC"/>
        <family val="2"/>
        <charset val="1"/>
      </rPr>
      <t xml:space="preserve">已核实 </t>
    </r>
    <r>
      <rPr>
        <sz val="11"/>
        <color rgb="FF000000"/>
        <rFont val="Calibri"/>
        <family val="2"/>
        <charset val="1"/>
      </rPr>
      <t xml:space="preserve">cu128 </t>
    </r>
    <r>
      <rPr>
        <sz val="11"/>
        <color rgb="FF000000"/>
        <rFont val="Noto Sans SC"/>
        <family val="2"/>
        <charset val="1"/>
      </rPr>
      <t xml:space="preserve">索引提供 </t>
    </r>
    <r>
      <rPr>
        <sz val="11"/>
        <color rgb="FF000000"/>
        <rFont val="Calibri"/>
        <family val="2"/>
        <charset val="1"/>
      </rPr>
      <t xml:space="preserve">torch 2.7-2.11 </t>
    </r>
    <r>
      <rPr>
        <sz val="11"/>
        <color rgb="FF000000"/>
        <rFont val="Noto Sans SC"/>
        <family val="2"/>
        <charset val="1"/>
      </rPr>
      <t xml:space="preserve">的 </t>
    </r>
    <r>
      <rPr>
        <sz val="11"/>
        <color rgb="FF000000"/>
        <rFont val="Calibri"/>
        <family val="2"/>
        <charset val="1"/>
      </rPr>
      <t xml:space="preserve">Linux </t>
    </r>
    <r>
      <rPr>
        <sz val="11"/>
        <color rgb="FF000000"/>
        <rFont val="Noto Sans SC"/>
        <family val="2"/>
        <charset val="1"/>
      </rPr>
      <t xml:space="preserve">轮子</t>
    </r>
  </si>
  <si>
    <t xml:space="preserve">Papers with Code</t>
  </si>
  <si>
    <t xml:space="preserve">网站</t>
  </si>
  <si>
    <t xml:space="preserve">找论文对应实现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</si>
  <si>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2-3</t>
    </r>
  </si>
  <si>
    <t xml:space="preserve">中</t>
  </si>
  <si>
    <t xml:space="preserve">Hugging Face</t>
  </si>
  <si>
    <t xml:space="preserve">平台</t>
  </si>
  <si>
    <t xml:space="preserve">模型权重与数据集，国内需配镜像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</si>
  <si>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2-4</t>
    </r>
  </si>
  <si>
    <t xml:space="preserve">TensorBoard / W&amp;B</t>
  </si>
  <si>
    <t xml:space="preserve">实验日志与对比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</si>
  <si>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2-5</t>
    </r>
  </si>
  <si>
    <t xml:space="preserve">Hydra</t>
  </si>
  <si>
    <t xml:space="preserve">配置系统，读大型仓库必备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</si>
  <si>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2</t>
    </r>
  </si>
  <si>
    <t xml:space="preserve">Detectron2 / mmdetection</t>
  </si>
  <si>
    <t xml:space="preserve">框架</t>
  </si>
  <si>
    <t xml:space="preserve">精读用，学真实的检测工程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</si>
  <si>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3</t>
    </r>
  </si>
  <si>
    <t xml:space="preserve">AirSim / gym-pybullet-drones</t>
  </si>
  <si>
    <t xml:space="preserve">仿真</t>
  </si>
  <si>
    <t xml:space="preserve">无人机仿真环境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</si>
  <si>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4</t>
    </r>
  </si>
  <si>
    <t xml:space="preserve">TensorRT / ONNX Runtime / OpenVINO</t>
  </si>
  <si>
    <t xml:space="preserve">模型部署与加速</t>
  </si>
  <si>
    <r>
      <rPr>
        <sz val="11"/>
        <color rgb="FF000000"/>
        <rFont val="Noto Sans SC"/>
        <family val="2"/>
        <charset val="1"/>
      </rPr>
      <t xml:space="preserve">阶段</t>
    </r>
    <r>
      <rPr>
        <sz val="11"/>
        <color rgb="FF000000"/>
        <rFont val="Calibri"/>
        <family val="2"/>
        <charset val="1"/>
      </rPr>
      <t xml:space="preserve">4-5</t>
    </r>
  </si>
  <si>
    <r>
      <rPr>
        <sz val="11"/>
        <color rgb="FF000000"/>
        <rFont val="Calibri"/>
        <family val="2"/>
        <charset val="1"/>
      </rPr>
      <t xml:space="preserve">Jetson Orin Nano </t>
    </r>
    <r>
      <rPr>
        <sz val="11"/>
        <color rgb="FF000000"/>
        <rFont val="Noto Sans SC"/>
        <family val="2"/>
        <charset val="1"/>
      </rPr>
      <t xml:space="preserve">文档</t>
    </r>
  </si>
  <si>
    <r>
      <rPr>
        <sz val="11"/>
        <color rgb="FF000000"/>
        <rFont val="Noto Sans SC"/>
        <family val="2"/>
        <charset val="1"/>
      </rPr>
      <t xml:space="preserve">边缘部署参考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SC"/>
        <family val="2"/>
        <charset val="1"/>
      </rPr>
      <t xml:space="preserve">取决于第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SC"/>
        <family val="2"/>
        <charset val="1"/>
      </rPr>
      <t xml:space="preserve">周决策</t>
    </r>
    <r>
      <rPr>
        <sz val="11"/>
        <color rgb="FF000000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</si>
</sst>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\年m\月d\日"/>
    <numFmt numFmtId="166" formatCode="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  <charset val="1"/>
    </font>
    <font>
      <sz val="11"/>
      <color rgb="FF000000"/>
      <name val="Noto Sans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Noto Sans SC"/>
      <family val="2"/>
      <charset val="1"/>
    </font>
    <font>
      <b val="true"/>
      <sz val="11"/>
      <name val="Noto Sans SC"/>
      <family val="2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98" hidden="false" customHeight="false" outlineLevel="0" collapsed="false">
      <c r="A2" s="2" t="s">
        <v>8</v>
      </c>
      <c r="B2" s="3" t="s">
        <v>9</v>
      </c>
      <c r="C2" s="2" t="s">
        <v>10</v>
      </c>
      <c r="D2" s="2" t="s">
        <v>11</v>
      </c>
      <c r="E2" s="4" t="s">
        <v>12</v>
      </c>
      <c r="F2" s="3" t="s">
        <v>13</v>
      </c>
      <c r="G2" s="5" t="n">
        <v>46306</v>
      </c>
      <c r="H2" s="2" t="s">
        <v>14</v>
      </c>
    </row>
    <row r="3" customFormat="false" ht="34" hidden="false" customHeight="false" outlineLevel="0" collapsed="false">
      <c r="A3" s="2" t="s">
        <v>15</v>
      </c>
      <c r="B3" s="3" t="s">
        <v>16</v>
      </c>
      <c r="C3" s="2" t="s">
        <v>17</v>
      </c>
      <c r="D3" s="4" t="s">
        <v>18</v>
      </c>
      <c r="E3" s="2" t="s">
        <v>19</v>
      </c>
      <c r="F3" s="3" t="s">
        <v>20</v>
      </c>
      <c r="G3" s="4"/>
      <c r="H3" s="4"/>
    </row>
    <row r="4" customFormat="false" ht="18" hidden="false" customHeight="false" outlineLevel="0" collapsed="false">
      <c r="A4" s="2" t="s">
        <v>15</v>
      </c>
      <c r="B4" s="3" t="s">
        <v>21</v>
      </c>
      <c r="C4" s="2" t="s">
        <v>22</v>
      </c>
      <c r="D4" s="4" t="s">
        <v>23</v>
      </c>
      <c r="E4" s="4" t="s">
        <v>24</v>
      </c>
      <c r="F4" s="3" t="s">
        <v>25</v>
      </c>
      <c r="G4" s="4"/>
      <c r="H4" s="4"/>
    </row>
    <row r="5" customFormat="false" ht="18" hidden="false" customHeight="false" outlineLevel="0" collapsed="false">
      <c r="A5" s="2" t="s">
        <v>15</v>
      </c>
      <c r="B5" s="3" t="s">
        <v>26</v>
      </c>
      <c r="C5" s="2" t="s">
        <v>27</v>
      </c>
      <c r="D5" s="2" t="s">
        <v>28</v>
      </c>
      <c r="E5" s="4" t="s">
        <v>29</v>
      </c>
      <c r="F5" s="3" t="s">
        <v>25</v>
      </c>
      <c r="G5" s="4"/>
      <c r="H5" s="4"/>
    </row>
    <row r="6" customFormat="false" ht="34" hidden="false" customHeight="false" outlineLevel="0" collapsed="false">
      <c r="A6" s="2" t="s">
        <v>15</v>
      </c>
      <c r="B6" s="3" t="s">
        <v>30</v>
      </c>
      <c r="C6" s="2" t="s">
        <v>31</v>
      </c>
      <c r="D6" s="2" t="s">
        <v>32</v>
      </c>
      <c r="E6" s="2" t="s">
        <v>33</v>
      </c>
      <c r="F6" s="3" t="s">
        <v>25</v>
      </c>
      <c r="G6" s="4"/>
      <c r="H6" s="4"/>
    </row>
    <row r="7" customFormat="false" ht="18" hidden="false" customHeight="false" outlineLevel="0" collapsed="false">
      <c r="A7" s="2" t="s">
        <v>15</v>
      </c>
      <c r="B7" s="3" t="s">
        <v>34</v>
      </c>
      <c r="C7" s="4" t="s">
        <v>35</v>
      </c>
      <c r="D7" s="2" t="s">
        <v>36</v>
      </c>
      <c r="E7" s="2" t="s">
        <v>37</v>
      </c>
      <c r="F7" s="3" t="s">
        <v>25</v>
      </c>
      <c r="G7" s="4"/>
      <c r="H7" s="4"/>
    </row>
    <row r="8" customFormat="false" ht="18" hidden="false" customHeight="false" outlineLevel="0" collapsed="false">
      <c r="A8" s="2" t="s">
        <v>15</v>
      </c>
      <c r="B8" s="3" t="s">
        <v>38</v>
      </c>
      <c r="C8" s="4" t="s">
        <v>39</v>
      </c>
      <c r="D8" s="2" t="s">
        <v>40</v>
      </c>
      <c r="E8" s="2" t="s">
        <v>41</v>
      </c>
      <c r="F8" s="3" t="s">
        <v>25</v>
      </c>
      <c r="G8" s="4"/>
      <c r="H8" s="4"/>
    </row>
    <row r="9" customFormat="false" ht="18" hidden="false" customHeight="false" outlineLevel="0" collapsed="false">
      <c r="A9" s="2" t="s">
        <v>15</v>
      </c>
      <c r="B9" s="3" t="s">
        <v>42</v>
      </c>
      <c r="C9" s="2" t="s">
        <v>43</v>
      </c>
      <c r="D9" s="4" t="s">
        <v>44</v>
      </c>
      <c r="E9" s="2" t="s">
        <v>45</v>
      </c>
      <c r="F9" s="3" t="s">
        <v>25</v>
      </c>
      <c r="G9" s="4"/>
      <c r="H9" s="4"/>
    </row>
    <row r="10" customFormat="false" ht="18" hidden="false" customHeight="false" outlineLevel="0" collapsed="false">
      <c r="A10" s="2" t="s">
        <v>15</v>
      </c>
      <c r="B10" s="3" t="s">
        <v>46</v>
      </c>
      <c r="C10" s="2" t="s">
        <v>47</v>
      </c>
      <c r="D10" s="2" t="s">
        <v>48</v>
      </c>
      <c r="E10" s="2" t="s">
        <v>49</v>
      </c>
      <c r="F10" s="3" t="s">
        <v>25</v>
      </c>
      <c r="G10" s="4"/>
      <c r="H10" s="4"/>
    </row>
    <row r="11" customFormat="false" ht="18" hidden="false" customHeight="false" outlineLevel="0" collapsed="false">
      <c r="A11" s="2" t="s">
        <v>50</v>
      </c>
      <c r="B11" s="3" t="s">
        <v>51</v>
      </c>
      <c r="C11" s="2" t="s">
        <v>52</v>
      </c>
      <c r="D11" s="4" t="s">
        <v>53</v>
      </c>
      <c r="E11" s="2" t="s">
        <v>54</v>
      </c>
      <c r="F11" s="3" t="s">
        <v>25</v>
      </c>
      <c r="G11" s="4"/>
      <c r="H11" s="4"/>
    </row>
    <row r="12" customFormat="false" ht="18" hidden="false" customHeight="false" outlineLevel="0" collapsed="false">
      <c r="A12" s="2" t="s">
        <v>50</v>
      </c>
      <c r="B12" s="3" t="s">
        <v>55</v>
      </c>
      <c r="C12" s="2" t="s">
        <v>56</v>
      </c>
      <c r="D12" s="2" t="s">
        <v>57</v>
      </c>
      <c r="E12" s="2" t="s">
        <v>58</v>
      </c>
      <c r="F12" s="3" t="s">
        <v>25</v>
      </c>
      <c r="G12" s="4"/>
      <c r="H12" s="4"/>
    </row>
    <row r="13" customFormat="false" ht="18" hidden="false" customHeight="false" outlineLevel="0" collapsed="false">
      <c r="A13" s="2" t="s">
        <v>50</v>
      </c>
      <c r="B13" s="3" t="s">
        <v>59</v>
      </c>
      <c r="C13" s="2" t="s">
        <v>60</v>
      </c>
      <c r="D13" s="2" t="s">
        <v>61</v>
      </c>
      <c r="E13" s="2" t="s">
        <v>62</v>
      </c>
      <c r="F13" s="3" t="s">
        <v>25</v>
      </c>
      <c r="G13" s="4"/>
      <c r="H13" s="4"/>
    </row>
    <row r="14" customFormat="false" ht="18" hidden="false" customHeight="false" outlineLevel="0" collapsed="false">
      <c r="A14" s="2" t="s">
        <v>50</v>
      </c>
      <c r="B14" s="3" t="s">
        <v>63</v>
      </c>
      <c r="C14" s="2" t="s">
        <v>64</v>
      </c>
      <c r="D14" s="2" t="s">
        <v>65</v>
      </c>
      <c r="E14" s="2" t="s">
        <v>66</v>
      </c>
      <c r="F14" s="3" t="s">
        <v>25</v>
      </c>
      <c r="G14" s="4"/>
      <c r="H14" s="4"/>
    </row>
    <row r="15" customFormat="false" ht="18" hidden="false" customHeight="false" outlineLevel="0" collapsed="false">
      <c r="A15" s="2" t="s">
        <v>50</v>
      </c>
      <c r="B15" s="3" t="s">
        <v>67</v>
      </c>
      <c r="C15" s="2" t="s">
        <v>68</v>
      </c>
      <c r="D15" s="2" t="s">
        <v>69</v>
      </c>
      <c r="E15" s="2" t="s">
        <v>70</v>
      </c>
      <c r="F15" s="3" t="s">
        <v>25</v>
      </c>
      <c r="G15" s="4"/>
      <c r="H15" s="4"/>
    </row>
    <row r="16" customFormat="false" ht="18" hidden="false" customHeight="false" outlineLevel="0" collapsed="false">
      <c r="A16" s="2" t="s">
        <v>50</v>
      </c>
      <c r="B16" s="3" t="s">
        <v>71</v>
      </c>
      <c r="C16" s="2" t="s">
        <v>72</v>
      </c>
      <c r="D16" s="2" t="s">
        <v>73</v>
      </c>
      <c r="E16" s="2" t="s">
        <v>74</v>
      </c>
      <c r="F16" s="3" t="s">
        <v>25</v>
      </c>
      <c r="G16" s="4"/>
      <c r="H16" s="4"/>
    </row>
    <row r="17" customFormat="false" ht="18" hidden="false" customHeight="false" outlineLevel="0" collapsed="false">
      <c r="A17" s="2" t="s">
        <v>75</v>
      </c>
      <c r="B17" s="3" t="s">
        <v>76</v>
      </c>
      <c r="C17" s="2" t="s">
        <v>77</v>
      </c>
      <c r="D17" s="4" t="s">
        <v>78</v>
      </c>
      <c r="E17" s="2" t="s">
        <v>79</v>
      </c>
      <c r="F17" s="3" t="s">
        <v>25</v>
      </c>
      <c r="G17" s="4"/>
      <c r="H17" s="4"/>
    </row>
    <row r="18" customFormat="false" ht="18" hidden="false" customHeight="false" outlineLevel="0" collapsed="false">
      <c r="A18" s="2" t="s">
        <v>75</v>
      </c>
      <c r="B18" s="3" t="s">
        <v>80</v>
      </c>
      <c r="C18" s="2" t="s">
        <v>81</v>
      </c>
      <c r="D18" s="2" t="s">
        <v>82</v>
      </c>
      <c r="E18" s="2" t="s">
        <v>83</v>
      </c>
      <c r="F18" s="3" t="s">
        <v>25</v>
      </c>
      <c r="G18" s="4"/>
      <c r="H18" s="4"/>
    </row>
    <row r="19" customFormat="false" ht="18" hidden="false" customHeight="false" outlineLevel="0" collapsed="false">
      <c r="A19" s="2" t="s">
        <v>75</v>
      </c>
      <c r="B19" s="3" t="s">
        <v>84</v>
      </c>
      <c r="C19" s="2" t="s">
        <v>85</v>
      </c>
      <c r="D19" s="4" t="s">
        <v>86</v>
      </c>
      <c r="E19" s="2" t="s">
        <v>87</v>
      </c>
      <c r="F19" s="3" t="s">
        <v>25</v>
      </c>
      <c r="G19" s="4"/>
      <c r="H19" s="4"/>
    </row>
    <row r="20" customFormat="false" ht="18" hidden="false" customHeight="false" outlineLevel="0" collapsed="false">
      <c r="A20" s="2" t="s">
        <v>75</v>
      </c>
      <c r="B20" s="3" t="s">
        <v>88</v>
      </c>
      <c r="C20" s="2" t="s">
        <v>89</v>
      </c>
      <c r="D20" s="4" t="s">
        <v>90</v>
      </c>
      <c r="E20" s="2" t="s">
        <v>91</v>
      </c>
      <c r="F20" s="3" t="s">
        <v>25</v>
      </c>
      <c r="G20" s="4"/>
      <c r="H20" s="4"/>
    </row>
    <row r="21" customFormat="false" ht="18" hidden="false" customHeight="false" outlineLevel="0" collapsed="false">
      <c r="A21" s="2" t="s">
        <v>75</v>
      </c>
      <c r="B21" s="3" t="s">
        <v>92</v>
      </c>
      <c r="C21" s="2" t="s">
        <v>93</v>
      </c>
      <c r="D21" s="2" t="s">
        <v>94</v>
      </c>
      <c r="E21" s="2" t="s">
        <v>95</v>
      </c>
      <c r="F21" s="3" t="s">
        <v>25</v>
      </c>
      <c r="G21" s="4"/>
      <c r="H21" s="4"/>
    </row>
    <row r="22" customFormat="false" ht="18" hidden="false" customHeight="false" outlineLevel="0" collapsed="false">
      <c r="A22" s="2" t="s">
        <v>75</v>
      </c>
      <c r="B22" s="3" t="s">
        <v>96</v>
      </c>
      <c r="C22" s="2" t="s">
        <v>97</v>
      </c>
      <c r="D22" s="4" t="s">
        <v>98</v>
      </c>
      <c r="E22" s="2" t="s">
        <v>99</v>
      </c>
      <c r="F22" s="3" t="s">
        <v>25</v>
      </c>
      <c r="G22" s="4"/>
      <c r="H22" s="4"/>
    </row>
    <row r="23" customFormat="false" ht="18" hidden="false" customHeight="false" outlineLevel="0" collapsed="false">
      <c r="A23" s="2" t="s">
        <v>75</v>
      </c>
      <c r="B23" s="3" t="s">
        <v>100</v>
      </c>
      <c r="C23" s="2" t="s">
        <v>101</v>
      </c>
      <c r="D23" s="2" t="s">
        <v>102</v>
      </c>
      <c r="E23" s="2" t="s">
        <v>103</v>
      </c>
      <c r="F23" s="3" t="s">
        <v>25</v>
      </c>
      <c r="G23" s="4"/>
      <c r="H23" s="4"/>
    </row>
    <row r="24" customFormat="false" ht="18" hidden="false" customHeight="false" outlineLevel="0" collapsed="false">
      <c r="A24" s="2" t="s">
        <v>75</v>
      </c>
      <c r="B24" s="3" t="s">
        <v>104</v>
      </c>
      <c r="C24" s="2" t="s">
        <v>105</v>
      </c>
      <c r="D24" s="2" t="s">
        <v>106</v>
      </c>
      <c r="E24" s="2" t="s">
        <v>107</v>
      </c>
      <c r="F24" s="3" t="s">
        <v>25</v>
      </c>
      <c r="G24" s="4"/>
      <c r="H24" s="4"/>
    </row>
    <row r="25" customFormat="false" ht="18" hidden="false" customHeight="false" outlineLevel="0" collapsed="false">
      <c r="A25" s="2" t="s">
        <v>75</v>
      </c>
      <c r="B25" s="3" t="s">
        <v>108</v>
      </c>
      <c r="C25" s="2" t="s">
        <v>109</v>
      </c>
      <c r="D25" s="4" t="s">
        <v>110</v>
      </c>
      <c r="E25" s="2" t="s">
        <v>111</v>
      </c>
      <c r="F25" s="3" t="s">
        <v>25</v>
      </c>
      <c r="G25" s="4"/>
      <c r="H25" s="4"/>
    </row>
    <row r="26" customFormat="false" ht="18" hidden="false" customHeight="false" outlineLevel="0" collapsed="false">
      <c r="A26" s="2" t="s">
        <v>75</v>
      </c>
      <c r="B26" s="3" t="s">
        <v>112</v>
      </c>
      <c r="C26" s="2" t="s">
        <v>113</v>
      </c>
      <c r="D26" s="2" t="s">
        <v>114</v>
      </c>
      <c r="E26" s="2" t="s">
        <v>115</v>
      </c>
      <c r="F26" s="3" t="s">
        <v>25</v>
      </c>
      <c r="G26" s="4"/>
      <c r="H26" s="4"/>
    </row>
    <row r="27" customFormat="false" ht="18" hidden="false" customHeight="false" outlineLevel="0" collapsed="false">
      <c r="A27" s="2" t="s">
        <v>75</v>
      </c>
      <c r="B27" s="3" t="s">
        <v>116</v>
      </c>
      <c r="C27" s="2" t="s">
        <v>117</v>
      </c>
      <c r="D27" s="2" t="s">
        <v>118</v>
      </c>
      <c r="E27" s="2" t="s">
        <v>119</v>
      </c>
      <c r="F27" s="3" t="s">
        <v>25</v>
      </c>
      <c r="G27" s="4"/>
      <c r="H27" s="4"/>
    </row>
    <row r="28" customFormat="false" ht="18" hidden="false" customHeight="false" outlineLevel="0" collapsed="false">
      <c r="A28" s="2" t="s">
        <v>75</v>
      </c>
      <c r="B28" s="3" t="s">
        <v>120</v>
      </c>
      <c r="C28" s="2" t="s">
        <v>121</v>
      </c>
      <c r="D28" s="2" t="s">
        <v>122</v>
      </c>
      <c r="E28" s="2" t="s">
        <v>123</v>
      </c>
      <c r="F28" s="3" t="s">
        <v>25</v>
      </c>
      <c r="G28" s="4"/>
      <c r="H28" s="4"/>
    </row>
    <row r="29" customFormat="false" ht="18" hidden="false" customHeight="false" outlineLevel="0" collapsed="false">
      <c r="A29" s="6" t="s">
        <v>124</v>
      </c>
      <c r="B29" s="7" t="s">
        <v>125</v>
      </c>
      <c r="C29" s="6" t="s">
        <v>126</v>
      </c>
      <c r="D29" s="6" t="s">
        <v>127</v>
      </c>
      <c r="E29" s="6" t="s">
        <v>128</v>
      </c>
      <c r="F29" s="7" t="s">
        <v>25</v>
      </c>
      <c r="G29" s="6"/>
      <c r="H29" s="6"/>
    </row>
    <row r="30" customFormat="false" ht="18" hidden="false" customHeight="false" outlineLevel="0" collapsed="false">
      <c r="A30" s="2" t="s">
        <v>124</v>
      </c>
      <c r="B30" s="3" t="s">
        <v>129</v>
      </c>
      <c r="C30" s="2" t="s">
        <v>130</v>
      </c>
      <c r="D30" s="2" t="s">
        <v>131</v>
      </c>
      <c r="E30" s="2" t="s">
        <v>132</v>
      </c>
      <c r="F30" s="3" t="s">
        <v>25</v>
      </c>
      <c r="G30" s="4"/>
      <c r="H30" s="4"/>
    </row>
    <row r="31" customFormat="false" ht="18" hidden="false" customHeight="false" outlineLevel="0" collapsed="false">
      <c r="A31" s="2" t="s">
        <v>124</v>
      </c>
      <c r="B31" s="3" t="s">
        <v>133</v>
      </c>
      <c r="C31" s="4" t="s">
        <v>134</v>
      </c>
      <c r="D31" s="2" t="s">
        <v>135</v>
      </c>
      <c r="E31" s="2" t="s">
        <v>136</v>
      </c>
      <c r="F31" s="3" t="s">
        <v>25</v>
      </c>
      <c r="G31" s="4"/>
      <c r="H31" s="4"/>
    </row>
    <row r="32" customFormat="false" ht="18" hidden="false" customHeight="false" outlineLevel="0" collapsed="false">
      <c r="A32" s="2" t="s">
        <v>124</v>
      </c>
      <c r="B32" s="3" t="s">
        <v>137</v>
      </c>
      <c r="C32" s="4" t="s">
        <v>138</v>
      </c>
      <c r="D32" s="2" t="s">
        <v>139</v>
      </c>
      <c r="E32" s="2" t="s">
        <v>140</v>
      </c>
      <c r="F32" s="3" t="s">
        <v>25</v>
      </c>
      <c r="G32" s="4"/>
      <c r="H32" s="4"/>
    </row>
    <row r="33" customFormat="false" ht="18" hidden="false" customHeight="false" outlineLevel="0" collapsed="false">
      <c r="A33" s="2" t="s">
        <v>124</v>
      </c>
      <c r="B33" s="3" t="s">
        <v>141</v>
      </c>
      <c r="C33" s="4" t="s">
        <v>142</v>
      </c>
      <c r="D33" s="2" t="s">
        <v>143</v>
      </c>
      <c r="E33" s="2" t="s">
        <v>144</v>
      </c>
      <c r="F33" s="3" t="s">
        <v>25</v>
      </c>
      <c r="G33" s="4"/>
      <c r="H33" s="4"/>
    </row>
    <row r="34" customFormat="false" ht="18" hidden="false" customHeight="false" outlineLevel="0" collapsed="false">
      <c r="A34" s="2" t="s">
        <v>124</v>
      </c>
      <c r="B34" s="3" t="s">
        <v>145</v>
      </c>
      <c r="C34" s="4" t="s">
        <v>146</v>
      </c>
      <c r="D34" s="2" t="s">
        <v>147</v>
      </c>
      <c r="E34" s="2" t="s">
        <v>148</v>
      </c>
      <c r="F34" s="3" t="s">
        <v>25</v>
      </c>
      <c r="G34" s="4"/>
      <c r="H34" s="4"/>
    </row>
    <row r="35" customFormat="false" ht="18" hidden="false" customHeight="false" outlineLevel="0" collapsed="false">
      <c r="A35" s="2" t="s">
        <v>124</v>
      </c>
      <c r="B35" s="3" t="s">
        <v>149</v>
      </c>
      <c r="C35" s="2" t="s">
        <v>150</v>
      </c>
      <c r="D35" s="2" t="s">
        <v>151</v>
      </c>
      <c r="E35" s="2" t="s">
        <v>152</v>
      </c>
      <c r="F35" s="3" t="s">
        <v>25</v>
      </c>
      <c r="G35" s="4"/>
      <c r="H35" s="4"/>
    </row>
    <row r="36" customFormat="false" ht="18" hidden="false" customHeight="false" outlineLevel="0" collapsed="false">
      <c r="A36" s="2" t="s">
        <v>124</v>
      </c>
      <c r="B36" s="3" t="s">
        <v>153</v>
      </c>
      <c r="C36" s="2" t="s">
        <v>154</v>
      </c>
      <c r="D36" s="2" t="s">
        <v>155</v>
      </c>
      <c r="E36" s="2" t="s">
        <v>156</v>
      </c>
      <c r="F36" s="3" t="s">
        <v>25</v>
      </c>
      <c r="G36" s="4"/>
      <c r="H36" s="4"/>
    </row>
    <row r="37" customFormat="false" ht="18" hidden="false" customHeight="false" outlineLevel="0" collapsed="false">
      <c r="A37" s="2" t="s">
        <v>124</v>
      </c>
      <c r="B37" s="3" t="s">
        <v>157</v>
      </c>
      <c r="C37" s="2" t="s">
        <v>158</v>
      </c>
      <c r="D37" s="2" t="s">
        <v>159</v>
      </c>
      <c r="E37" s="2" t="s">
        <v>160</v>
      </c>
      <c r="F37" s="3" t="s">
        <v>25</v>
      </c>
      <c r="G37" s="4"/>
      <c r="H37" s="4"/>
    </row>
    <row r="38" customFormat="false" ht="18" hidden="false" customHeight="false" outlineLevel="0" collapsed="false">
      <c r="A38" s="2" t="s">
        <v>124</v>
      </c>
      <c r="B38" s="3" t="s">
        <v>161</v>
      </c>
      <c r="C38" s="4" t="s">
        <v>162</v>
      </c>
      <c r="D38" s="2" t="s">
        <v>163</v>
      </c>
      <c r="E38" s="2" t="s">
        <v>164</v>
      </c>
      <c r="F38" s="3" t="s">
        <v>25</v>
      </c>
      <c r="G38" s="4"/>
      <c r="H38" s="4"/>
    </row>
    <row r="39" customFormat="false" ht="18" hidden="false" customHeight="false" outlineLevel="0" collapsed="false">
      <c r="A39" s="2" t="s">
        <v>165</v>
      </c>
      <c r="B39" s="3" t="s">
        <v>166</v>
      </c>
      <c r="C39" s="2" t="s">
        <v>167</v>
      </c>
      <c r="D39" s="4" t="s">
        <v>168</v>
      </c>
      <c r="E39" s="2" t="s">
        <v>169</v>
      </c>
      <c r="F39" s="3" t="s">
        <v>25</v>
      </c>
      <c r="G39" s="4"/>
      <c r="H39" s="4"/>
    </row>
    <row r="40" customFormat="false" ht="18" hidden="false" customHeight="false" outlineLevel="0" collapsed="false">
      <c r="A40" s="2" t="s">
        <v>165</v>
      </c>
      <c r="B40" s="3" t="s">
        <v>170</v>
      </c>
      <c r="C40" s="2" t="s">
        <v>171</v>
      </c>
      <c r="D40" s="2" t="s">
        <v>172</v>
      </c>
      <c r="E40" s="2" t="s">
        <v>173</v>
      </c>
      <c r="F40" s="3" t="s">
        <v>25</v>
      </c>
      <c r="G40" s="4"/>
      <c r="H40" s="4"/>
    </row>
    <row r="41" customFormat="false" ht="18" hidden="false" customHeight="false" outlineLevel="0" collapsed="false">
      <c r="A41" s="2" t="s">
        <v>165</v>
      </c>
      <c r="B41" s="3" t="s">
        <v>174</v>
      </c>
      <c r="C41" s="2" t="s">
        <v>175</v>
      </c>
      <c r="D41" s="2" t="s">
        <v>176</v>
      </c>
      <c r="E41" s="2" t="s">
        <v>177</v>
      </c>
      <c r="F41" s="3" t="s">
        <v>25</v>
      </c>
      <c r="G41" s="4"/>
      <c r="H41" s="4"/>
    </row>
    <row r="42" customFormat="false" ht="18" hidden="false" customHeight="false" outlineLevel="0" collapsed="false">
      <c r="A42" s="2" t="s">
        <v>165</v>
      </c>
      <c r="B42" s="3" t="s">
        <v>178</v>
      </c>
      <c r="C42" s="2" t="s">
        <v>179</v>
      </c>
      <c r="D42" s="2" t="s">
        <v>180</v>
      </c>
      <c r="E42" s="2" t="s">
        <v>181</v>
      </c>
      <c r="F42" s="3" t="s">
        <v>25</v>
      </c>
      <c r="G42" s="4"/>
      <c r="H42" s="4"/>
    </row>
    <row r="43" customFormat="false" ht="18" hidden="false" customHeight="false" outlineLevel="0" collapsed="false">
      <c r="A43" s="2" t="s">
        <v>165</v>
      </c>
      <c r="B43" s="3" t="s">
        <v>182</v>
      </c>
      <c r="C43" s="4" t="s">
        <v>183</v>
      </c>
      <c r="D43" s="2" t="s">
        <v>184</v>
      </c>
      <c r="E43" s="2" t="s">
        <v>185</v>
      </c>
      <c r="F43" s="3" t="s">
        <v>25</v>
      </c>
      <c r="G43" s="4"/>
      <c r="H43" s="4"/>
    </row>
    <row r="44" customFormat="false" ht="18" hidden="false" customHeight="false" outlineLevel="0" collapsed="false">
      <c r="A44" s="2" t="s">
        <v>165</v>
      </c>
      <c r="B44" s="3" t="s">
        <v>186</v>
      </c>
      <c r="C44" s="4" t="s">
        <v>187</v>
      </c>
      <c r="D44" s="2" t="s">
        <v>188</v>
      </c>
      <c r="E44" s="2" t="s">
        <v>189</v>
      </c>
      <c r="F44" s="3" t="s">
        <v>25</v>
      </c>
      <c r="G44" s="4"/>
      <c r="H44" s="4"/>
    </row>
    <row r="45" customFormat="false" ht="18" hidden="false" customHeight="false" outlineLevel="0" collapsed="false">
      <c r="A45" s="2" t="s">
        <v>165</v>
      </c>
      <c r="B45" s="3" t="s">
        <v>190</v>
      </c>
      <c r="C45" s="4" t="s">
        <v>191</v>
      </c>
      <c r="D45" s="2" t="s">
        <v>192</v>
      </c>
      <c r="E45" s="2" t="s">
        <v>193</v>
      </c>
      <c r="F45" s="3" t="s">
        <v>25</v>
      </c>
      <c r="G45" s="4"/>
      <c r="H45" s="4"/>
    </row>
    <row r="46" customFormat="false" ht="18" hidden="false" customHeight="false" outlineLevel="0" collapsed="false">
      <c r="A46" s="2" t="s">
        <v>165</v>
      </c>
      <c r="B46" s="3" t="s">
        <v>194</v>
      </c>
      <c r="C46" s="2" t="s">
        <v>195</v>
      </c>
      <c r="D46" s="2" t="s">
        <v>196</v>
      </c>
      <c r="E46" s="2" t="s">
        <v>197</v>
      </c>
      <c r="F46" s="3" t="s">
        <v>25</v>
      </c>
      <c r="G46" s="4"/>
      <c r="H46" s="4"/>
    </row>
  </sheetData>
  <dataValidations count="1">
    <dataValidation allowBlank="true" error="请从下拉列表中选择" errorStyle="stop" operator="between" showDropDown="false" showErrorMessage="false" showInputMessage="false" sqref="F2:F46" type="list">
      <formula1>"未开始,进行中,已完成,延期"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7" min="5" style="0" width="40"/>
  </cols>
  <sheetData>
    <row r="1" customFormat="false" ht="30" hidden="false" customHeight="true" outlineLevel="0" collapsed="false">
      <c r="A1" s="1" t="s">
        <v>1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</row>
    <row r="2" customFormat="false" ht="34" hidden="false" customHeight="false" outlineLevel="0" collapsed="false">
      <c r="A2" s="3" t="s">
        <v>204</v>
      </c>
      <c r="B2" s="4" t="n">
        <v>5</v>
      </c>
      <c r="C2" s="4"/>
      <c r="D2" s="8"/>
      <c r="E2" s="4" t="s">
        <v>205</v>
      </c>
      <c r="F2" s="4" t="s">
        <v>206</v>
      </c>
      <c r="G2" s="2" t="s">
        <v>207</v>
      </c>
    </row>
    <row r="3" customFormat="false" ht="18" hidden="false" customHeight="false" outlineLevel="0" collapsed="false">
      <c r="A3" s="3" t="s">
        <v>16</v>
      </c>
      <c r="B3" s="4" t="n">
        <v>12</v>
      </c>
      <c r="C3" s="4"/>
      <c r="D3" s="8"/>
      <c r="E3" s="4"/>
      <c r="F3" s="4"/>
      <c r="G3" s="4"/>
    </row>
    <row r="4" customFormat="false" ht="18" hidden="false" customHeight="false" outlineLevel="0" collapsed="false">
      <c r="A4" s="3" t="s">
        <v>21</v>
      </c>
      <c r="B4" s="4" t="n">
        <v>12</v>
      </c>
      <c r="C4" s="4"/>
      <c r="D4" s="8"/>
      <c r="E4" s="4"/>
      <c r="F4" s="4"/>
      <c r="G4" s="4"/>
    </row>
    <row r="5" customFormat="false" ht="18" hidden="false" customHeight="false" outlineLevel="0" collapsed="false">
      <c r="A5" s="3" t="s">
        <v>26</v>
      </c>
      <c r="B5" s="4" t="n">
        <v>12</v>
      </c>
      <c r="C5" s="4"/>
      <c r="D5" s="8"/>
      <c r="E5" s="4"/>
      <c r="F5" s="4"/>
      <c r="G5" s="4"/>
    </row>
    <row r="6" customFormat="false" ht="18" hidden="false" customHeight="false" outlineLevel="0" collapsed="false">
      <c r="A6" s="3" t="s">
        <v>30</v>
      </c>
      <c r="B6" s="4" t="n">
        <v>12</v>
      </c>
      <c r="C6" s="4"/>
      <c r="D6" s="8"/>
      <c r="E6" s="4"/>
      <c r="F6" s="4"/>
      <c r="G6" s="4"/>
    </row>
    <row r="7" customFormat="false" ht="18" hidden="false" customHeight="false" outlineLevel="0" collapsed="false">
      <c r="A7" s="3" t="s">
        <v>34</v>
      </c>
      <c r="B7" s="4" t="n">
        <v>12</v>
      </c>
      <c r="C7" s="4"/>
      <c r="D7" s="8"/>
      <c r="E7" s="4"/>
      <c r="F7" s="4"/>
      <c r="G7" s="4"/>
    </row>
    <row r="8" customFormat="false" ht="18" hidden="false" customHeight="false" outlineLevel="0" collapsed="false">
      <c r="A8" s="3" t="s">
        <v>38</v>
      </c>
      <c r="B8" s="4" t="n">
        <v>12</v>
      </c>
      <c r="C8" s="4"/>
      <c r="D8" s="8"/>
      <c r="E8" s="4"/>
      <c r="F8" s="4"/>
      <c r="G8" s="4"/>
    </row>
    <row r="9" customFormat="false" ht="18" hidden="false" customHeight="false" outlineLevel="0" collapsed="false">
      <c r="A9" s="3" t="s">
        <v>42</v>
      </c>
      <c r="B9" s="4" t="n">
        <v>12</v>
      </c>
      <c r="C9" s="4"/>
      <c r="D9" s="8"/>
      <c r="E9" s="4"/>
      <c r="F9" s="4"/>
      <c r="G9" s="4"/>
    </row>
    <row r="10" customFormat="false" ht="18" hidden="false" customHeight="false" outlineLevel="0" collapsed="false">
      <c r="A10" s="3" t="s">
        <v>46</v>
      </c>
      <c r="B10" s="4" t="n">
        <v>12</v>
      </c>
      <c r="C10" s="4"/>
      <c r="D10" s="8"/>
      <c r="E10" s="4"/>
      <c r="F10" s="4"/>
      <c r="G10" s="4"/>
    </row>
    <row r="11" customFormat="false" ht="18" hidden="false" customHeight="false" outlineLevel="0" collapsed="false">
      <c r="A11" s="3" t="s">
        <v>51</v>
      </c>
      <c r="B11" s="4" t="n">
        <v>12</v>
      </c>
      <c r="C11" s="4"/>
      <c r="D11" s="8"/>
      <c r="E11" s="4"/>
      <c r="F11" s="4"/>
      <c r="G11" s="4"/>
    </row>
    <row r="12" customFormat="false" ht="18" hidden="false" customHeight="false" outlineLevel="0" collapsed="false">
      <c r="A12" s="3" t="s">
        <v>55</v>
      </c>
      <c r="B12" s="4" t="n">
        <v>12</v>
      </c>
      <c r="C12" s="4"/>
      <c r="D12" s="8"/>
      <c r="E12" s="4"/>
      <c r="F12" s="4"/>
      <c r="G12" s="4"/>
    </row>
    <row r="13" customFormat="false" ht="18" hidden="false" customHeight="false" outlineLevel="0" collapsed="false">
      <c r="A13" s="3" t="s">
        <v>59</v>
      </c>
      <c r="B13" s="4" t="n">
        <v>12</v>
      </c>
      <c r="C13" s="4"/>
      <c r="D13" s="8"/>
      <c r="E13" s="4"/>
      <c r="F13" s="4"/>
      <c r="G13" s="4"/>
    </row>
    <row r="14" customFormat="false" ht="18" hidden="false" customHeight="false" outlineLevel="0" collapsed="false">
      <c r="A14" s="3" t="s">
        <v>63</v>
      </c>
      <c r="B14" s="4" t="n">
        <v>12</v>
      </c>
      <c r="C14" s="4"/>
      <c r="D14" s="8"/>
      <c r="E14" s="4"/>
      <c r="F14" s="4"/>
      <c r="G14" s="4"/>
    </row>
    <row r="15" customFormat="false" ht="18" hidden="false" customHeight="false" outlineLevel="0" collapsed="false">
      <c r="A15" s="3" t="s">
        <v>67</v>
      </c>
      <c r="B15" s="4" t="n">
        <v>12</v>
      </c>
      <c r="C15" s="4"/>
      <c r="D15" s="8"/>
      <c r="E15" s="4"/>
      <c r="F15" s="4"/>
      <c r="G15" s="4"/>
    </row>
    <row r="16" customFormat="false" ht="18" hidden="false" customHeight="false" outlineLevel="0" collapsed="false">
      <c r="A16" s="3" t="s">
        <v>71</v>
      </c>
      <c r="B16" s="4" t="n">
        <v>12</v>
      </c>
      <c r="C16" s="4"/>
      <c r="D16" s="8"/>
      <c r="E16" s="4"/>
      <c r="F16" s="4"/>
      <c r="G16" s="4"/>
    </row>
    <row r="17" customFormat="false" ht="18" hidden="false" customHeight="false" outlineLevel="0" collapsed="false">
      <c r="A17" s="3" t="s">
        <v>76</v>
      </c>
      <c r="B17" s="4" t="n">
        <v>12</v>
      </c>
      <c r="C17" s="4"/>
      <c r="D17" s="8"/>
      <c r="E17" s="4"/>
      <c r="F17" s="4"/>
      <c r="G17" s="4"/>
    </row>
    <row r="18" customFormat="false" ht="18" hidden="false" customHeight="false" outlineLevel="0" collapsed="false">
      <c r="A18" s="3" t="s">
        <v>80</v>
      </c>
      <c r="B18" s="4" t="n">
        <v>12</v>
      </c>
      <c r="C18" s="4"/>
      <c r="D18" s="8"/>
      <c r="E18" s="4"/>
      <c r="F18" s="4"/>
      <c r="G18" s="4"/>
    </row>
    <row r="19" customFormat="false" ht="18" hidden="false" customHeight="false" outlineLevel="0" collapsed="false">
      <c r="A19" s="3" t="s">
        <v>84</v>
      </c>
      <c r="B19" s="4" t="n">
        <v>12</v>
      </c>
      <c r="C19" s="4"/>
      <c r="D19" s="8"/>
      <c r="E19" s="4"/>
      <c r="F19" s="4"/>
      <c r="G19" s="4"/>
    </row>
    <row r="20" customFormat="false" ht="18" hidden="false" customHeight="false" outlineLevel="0" collapsed="false">
      <c r="A20" s="3" t="s">
        <v>88</v>
      </c>
      <c r="B20" s="4" t="n">
        <v>12</v>
      </c>
      <c r="C20" s="4"/>
      <c r="D20" s="8"/>
      <c r="E20" s="4"/>
      <c r="F20" s="4"/>
      <c r="G20" s="4"/>
    </row>
    <row r="21" customFormat="false" ht="18" hidden="false" customHeight="false" outlineLevel="0" collapsed="false">
      <c r="A21" s="3" t="s">
        <v>92</v>
      </c>
      <c r="B21" s="4" t="n">
        <v>12</v>
      </c>
      <c r="C21" s="4"/>
      <c r="D21" s="8"/>
      <c r="E21" s="4"/>
      <c r="F21" s="4"/>
      <c r="G21" s="4"/>
    </row>
    <row r="22" customFormat="false" ht="18" hidden="false" customHeight="false" outlineLevel="0" collapsed="false">
      <c r="A22" s="3" t="s">
        <v>96</v>
      </c>
      <c r="B22" s="4" t="n">
        <v>12</v>
      </c>
      <c r="C22" s="4"/>
      <c r="D22" s="8"/>
      <c r="E22" s="4"/>
      <c r="F22" s="4"/>
      <c r="G22" s="4"/>
    </row>
    <row r="23" customFormat="false" ht="18" hidden="false" customHeight="false" outlineLevel="0" collapsed="false">
      <c r="A23" s="3" t="s">
        <v>100</v>
      </c>
      <c r="B23" s="4" t="n">
        <v>12</v>
      </c>
      <c r="C23" s="4"/>
      <c r="D23" s="8"/>
      <c r="E23" s="4"/>
      <c r="F23" s="4"/>
      <c r="G23" s="4"/>
    </row>
    <row r="24" customFormat="false" ht="18" hidden="false" customHeight="false" outlineLevel="0" collapsed="false">
      <c r="A24" s="3" t="s">
        <v>104</v>
      </c>
      <c r="B24" s="4" t="n">
        <v>12</v>
      </c>
      <c r="C24" s="4"/>
      <c r="D24" s="8"/>
      <c r="E24" s="4"/>
      <c r="F24" s="4"/>
      <c r="G24" s="4"/>
    </row>
    <row r="25" customFormat="false" ht="18" hidden="false" customHeight="false" outlineLevel="0" collapsed="false">
      <c r="A25" s="3" t="s">
        <v>108</v>
      </c>
      <c r="B25" s="4" t="n">
        <v>12</v>
      </c>
      <c r="C25" s="4"/>
      <c r="D25" s="8"/>
      <c r="E25" s="4"/>
      <c r="F25" s="4"/>
      <c r="G25" s="4"/>
    </row>
    <row r="26" customFormat="false" ht="18" hidden="false" customHeight="false" outlineLevel="0" collapsed="false">
      <c r="A26" s="3" t="s">
        <v>112</v>
      </c>
      <c r="B26" s="4" t="n">
        <v>12</v>
      </c>
      <c r="C26" s="4"/>
      <c r="D26" s="8"/>
      <c r="E26" s="4"/>
      <c r="F26" s="4"/>
      <c r="G26" s="4"/>
    </row>
    <row r="27" customFormat="false" ht="18" hidden="false" customHeight="false" outlineLevel="0" collapsed="false">
      <c r="A27" s="3" t="s">
        <v>116</v>
      </c>
      <c r="B27" s="4" t="n">
        <v>12</v>
      </c>
      <c r="C27" s="4"/>
      <c r="D27" s="8"/>
      <c r="E27" s="4"/>
      <c r="F27" s="4"/>
      <c r="G27" s="4"/>
    </row>
    <row r="28" customFormat="false" ht="18" hidden="false" customHeight="false" outlineLevel="0" collapsed="false">
      <c r="A28" s="3" t="s">
        <v>120</v>
      </c>
      <c r="B28" s="4" t="n">
        <v>12</v>
      </c>
      <c r="C28" s="4"/>
      <c r="D28" s="8"/>
      <c r="E28" s="4"/>
      <c r="F28" s="4"/>
      <c r="G28" s="4"/>
    </row>
    <row r="29" customFormat="false" ht="18" hidden="false" customHeight="false" outlineLevel="0" collapsed="false">
      <c r="A29" s="3" t="s">
        <v>125</v>
      </c>
      <c r="B29" s="4" t="n">
        <v>12</v>
      </c>
      <c r="C29" s="4"/>
      <c r="D29" s="8"/>
      <c r="E29" s="4"/>
      <c r="F29" s="4"/>
      <c r="G29" s="4"/>
    </row>
    <row r="30" customFormat="false" ht="18" hidden="false" customHeight="false" outlineLevel="0" collapsed="false">
      <c r="A30" s="3" t="s">
        <v>129</v>
      </c>
      <c r="B30" s="4" t="n">
        <v>12</v>
      </c>
      <c r="C30" s="4"/>
      <c r="D30" s="8"/>
      <c r="E30" s="4"/>
      <c r="F30" s="4"/>
      <c r="G30" s="4"/>
    </row>
    <row r="31" customFormat="false" ht="18" hidden="false" customHeight="false" outlineLevel="0" collapsed="false">
      <c r="A31" s="3" t="s">
        <v>133</v>
      </c>
      <c r="B31" s="4" t="n">
        <v>12</v>
      </c>
      <c r="C31" s="4"/>
      <c r="D31" s="8"/>
      <c r="E31" s="4"/>
      <c r="F31" s="4"/>
      <c r="G31" s="4"/>
    </row>
    <row r="32" customFormat="false" ht="18" hidden="false" customHeight="false" outlineLevel="0" collapsed="false">
      <c r="A32" s="3" t="s">
        <v>137</v>
      </c>
      <c r="B32" s="4" t="n">
        <v>12</v>
      </c>
      <c r="C32" s="4"/>
      <c r="D32" s="8"/>
      <c r="E32" s="4"/>
      <c r="F32" s="4"/>
      <c r="G32" s="4"/>
    </row>
    <row r="33" customFormat="false" ht="18" hidden="false" customHeight="false" outlineLevel="0" collapsed="false">
      <c r="A33" s="3" t="s">
        <v>141</v>
      </c>
      <c r="B33" s="4" t="n">
        <v>12</v>
      </c>
      <c r="C33" s="4"/>
      <c r="D33" s="8"/>
      <c r="E33" s="4"/>
      <c r="F33" s="4"/>
      <c r="G33" s="4"/>
    </row>
    <row r="34" customFormat="false" ht="18" hidden="false" customHeight="false" outlineLevel="0" collapsed="false">
      <c r="A34" s="3" t="s">
        <v>145</v>
      </c>
      <c r="B34" s="4" t="n">
        <v>12</v>
      </c>
      <c r="C34" s="4"/>
      <c r="D34" s="8"/>
      <c r="E34" s="4"/>
      <c r="F34" s="4"/>
      <c r="G34" s="4"/>
    </row>
    <row r="35" customFormat="false" ht="18" hidden="false" customHeight="false" outlineLevel="0" collapsed="false">
      <c r="A35" s="3" t="s">
        <v>149</v>
      </c>
      <c r="B35" s="4" t="n">
        <v>12</v>
      </c>
      <c r="C35" s="4"/>
      <c r="D35" s="8"/>
      <c r="E35" s="4"/>
      <c r="F35" s="4"/>
      <c r="G35" s="4"/>
    </row>
    <row r="36" customFormat="false" ht="18" hidden="false" customHeight="false" outlineLevel="0" collapsed="false">
      <c r="A36" s="3" t="s">
        <v>153</v>
      </c>
      <c r="B36" s="4" t="n">
        <v>12</v>
      </c>
      <c r="C36" s="4"/>
      <c r="D36" s="8"/>
      <c r="E36" s="4"/>
      <c r="F36" s="4"/>
      <c r="G36" s="4"/>
    </row>
    <row r="37" customFormat="false" ht="18" hidden="false" customHeight="false" outlineLevel="0" collapsed="false">
      <c r="A37" s="3" t="s">
        <v>157</v>
      </c>
      <c r="B37" s="4" t="n">
        <v>12</v>
      </c>
      <c r="C37" s="4"/>
      <c r="D37" s="8"/>
      <c r="E37" s="4"/>
      <c r="F37" s="4"/>
      <c r="G37" s="4"/>
    </row>
    <row r="38" customFormat="false" ht="18" hidden="false" customHeight="false" outlineLevel="0" collapsed="false">
      <c r="A38" s="3" t="s">
        <v>161</v>
      </c>
      <c r="B38" s="4" t="n">
        <v>12</v>
      </c>
      <c r="C38" s="4"/>
      <c r="D38" s="8"/>
      <c r="E38" s="4"/>
      <c r="F38" s="4"/>
      <c r="G38" s="4"/>
    </row>
    <row r="39" customFormat="false" ht="18" hidden="false" customHeight="false" outlineLevel="0" collapsed="false">
      <c r="A39" s="3" t="s">
        <v>166</v>
      </c>
      <c r="B39" s="4" t="n">
        <v>12</v>
      </c>
      <c r="C39" s="4"/>
      <c r="D39" s="8"/>
      <c r="E39" s="4"/>
      <c r="F39" s="4"/>
      <c r="G39" s="4"/>
    </row>
    <row r="40" customFormat="false" ht="18" hidden="false" customHeight="false" outlineLevel="0" collapsed="false">
      <c r="A40" s="3" t="s">
        <v>170</v>
      </c>
      <c r="B40" s="4" t="n">
        <v>12</v>
      </c>
      <c r="C40" s="4"/>
      <c r="D40" s="8"/>
      <c r="E40" s="4"/>
      <c r="F40" s="4"/>
      <c r="G40" s="4"/>
    </row>
    <row r="41" customFormat="false" ht="18" hidden="false" customHeight="false" outlineLevel="0" collapsed="false">
      <c r="A41" s="3" t="s">
        <v>174</v>
      </c>
      <c r="B41" s="4" t="n">
        <v>12</v>
      </c>
      <c r="C41" s="4"/>
      <c r="D41" s="8"/>
      <c r="E41" s="4"/>
      <c r="F41" s="4"/>
      <c r="G41" s="4"/>
    </row>
    <row r="42" customFormat="false" ht="18" hidden="false" customHeight="false" outlineLevel="0" collapsed="false">
      <c r="A42" s="3" t="s">
        <v>178</v>
      </c>
      <c r="B42" s="4" t="n">
        <v>12</v>
      </c>
      <c r="C42" s="4"/>
      <c r="D42" s="8"/>
      <c r="E42" s="4"/>
      <c r="F42" s="4"/>
      <c r="G42" s="4"/>
    </row>
    <row r="43" customFormat="false" ht="18" hidden="false" customHeight="false" outlineLevel="0" collapsed="false">
      <c r="A43" s="3" t="s">
        <v>182</v>
      </c>
      <c r="B43" s="4" t="n">
        <v>12</v>
      </c>
      <c r="C43" s="4"/>
      <c r="D43" s="8"/>
      <c r="E43" s="4"/>
      <c r="F43" s="4"/>
      <c r="G43" s="4"/>
    </row>
    <row r="44" customFormat="false" ht="18" hidden="false" customHeight="false" outlineLevel="0" collapsed="false">
      <c r="A44" s="3" t="s">
        <v>186</v>
      </c>
      <c r="B44" s="4" t="n">
        <v>12</v>
      </c>
      <c r="C44" s="4"/>
      <c r="D44" s="8"/>
      <c r="E44" s="4"/>
      <c r="F44" s="4"/>
      <c r="G44" s="4"/>
    </row>
    <row r="45" customFormat="false" ht="18" hidden="false" customHeight="false" outlineLevel="0" collapsed="false">
      <c r="A45" s="3" t="s">
        <v>190</v>
      </c>
      <c r="B45" s="4" t="n">
        <v>12</v>
      </c>
      <c r="C45" s="4"/>
      <c r="D45" s="8"/>
      <c r="E45" s="4"/>
      <c r="F45" s="4"/>
      <c r="G45" s="4"/>
    </row>
    <row r="46" customFormat="false" ht="18" hidden="false" customHeight="false" outlineLevel="0" collapsed="false">
      <c r="A46" s="3" t="s">
        <v>194</v>
      </c>
      <c r="B46" s="4" t="n">
        <v>12</v>
      </c>
      <c r="C46" s="4"/>
      <c r="D46" s="8"/>
      <c r="E46" s="4"/>
      <c r="F46" s="4"/>
      <c r="G46" s="4"/>
    </row>
  </sheetData>
  <dataValidations count="1">
    <dataValidation allowBlank="true" errorStyle="stop" operator="between" showDropDown="false" showErrorMessage="false" showInputMessage="false" sqref="D2:D46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8" min="6" style="0" width="10"/>
    <col collapsed="false" customWidth="true" hidden="false" outlineLevel="0" max="10" min="9" style="0" width="20"/>
    <col collapsed="false" customWidth="true" hidden="false" outlineLevel="0" max="11" min="11" style="0" width="34"/>
    <col collapsed="false" customWidth="true" hidden="false" outlineLevel="0" max="13" min="12" style="0" width="30"/>
  </cols>
  <sheetData>
    <row r="1" customFormat="false" ht="30" hidden="false" customHeight="true" outlineLevel="0" collapsed="false">
      <c r="A1" s="1" t="s">
        <v>208</v>
      </c>
      <c r="B1" s="9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customFormat="false" ht="18" hidden="false" customHeight="false" outlineLevel="0" collapsed="false">
      <c r="A2" s="4" t="s">
        <v>221</v>
      </c>
      <c r="B2" s="4" t="s">
        <v>222</v>
      </c>
      <c r="C2" s="2" t="s">
        <v>223</v>
      </c>
      <c r="D2" s="2" t="s">
        <v>224</v>
      </c>
      <c r="E2" s="8"/>
      <c r="F2" s="8"/>
      <c r="G2" s="8"/>
      <c r="H2" s="8"/>
      <c r="I2" s="4"/>
      <c r="J2" s="4"/>
      <c r="K2" s="4"/>
      <c r="L2" s="4"/>
      <c r="M2" s="4"/>
    </row>
    <row r="3" customFormat="false" ht="18" hidden="false" customHeight="false" outlineLevel="0" collapsed="false">
      <c r="A3" s="4" t="s">
        <v>225</v>
      </c>
      <c r="B3" s="4" t="s">
        <v>226</v>
      </c>
      <c r="C3" s="2" t="s">
        <v>223</v>
      </c>
      <c r="D3" s="2" t="s">
        <v>227</v>
      </c>
      <c r="E3" s="8"/>
      <c r="F3" s="8"/>
      <c r="G3" s="8"/>
      <c r="H3" s="8"/>
      <c r="I3" s="4"/>
      <c r="J3" s="4"/>
      <c r="K3" s="4"/>
      <c r="L3" s="4"/>
      <c r="M3" s="4"/>
    </row>
    <row r="4" customFormat="false" ht="18" hidden="false" customHeight="false" outlineLevel="0" collapsed="false">
      <c r="A4" s="4" t="s">
        <v>228</v>
      </c>
      <c r="B4" s="4" t="s">
        <v>229</v>
      </c>
      <c r="C4" s="2" t="s">
        <v>230</v>
      </c>
      <c r="D4" s="2" t="s">
        <v>231</v>
      </c>
      <c r="E4" s="8"/>
      <c r="F4" s="8"/>
      <c r="G4" s="8"/>
      <c r="H4" s="8"/>
      <c r="I4" s="4"/>
      <c r="J4" s="4"/>
      <c r="K4" s="4"/>
      <c r="L4" s="4"/>
      <c r="M4" s="4"/>
    </row>
    <row r="5" customFormat="false" ht="18" hidden="false" customHeight="false" outlineLevel="0" collapsed="false">
      <c r="A5" s="4" t="s">
        <v>232</v>
      </c>
      <c r="B5" s="4" t="s">
        <v>233</v>
      </c>
      <c r="C5" s="2" t="s">
        <v>234</v>
      </c>
      <c r="D5" s="2" t="s">
        <v>231</v>
      </c>
      <c r="E5" s="8"/>
      <c r="F5" s="8"/>
      <c r="G5" s="8"/>
      <c r="H5" s="8"/>
      <c r="I5" s="4"/>
      <c r="J5" s="4"/>
      <c r="K5" s="4"/>
      <c r="L5" s="4"/>
      <c r="M5" s="4"/>
    </row>
    <row r="6" customFormat="false" ht="18" hidden="false" customHeight="false" outlineLevel="0" collapsed="false">
      <c r="A6" s="4" t="s">
        <v>235</v>
      </c>
      <c r="B6" s="4" t="s">
        <v>236</v>
      </c>
      <c r="C6" s="2" t="s">
        <v>237</v>
      </c>
      <c r="D6" s="2" t="s">
        <v>238</v>
      </c>
      <c r="E6" s="8"/>
      <c r="F6" s="8"/>
      <c r="G6" s="8"/>
      <c r="H6" s="8"/>
      <c r="I6" s="4"/>
      <c r="J6" s="4"/>
      <c r="K6" s="4"/>
      <c r="L6" s="4"/>
      <c r="M6" s="4"/>
    </row>
    <row r="7" customFormat="false" ht="18" hidden="false" customHeight="false" outlineLevel="0" collapsed="false">
      <c r="A7" s="4" t="s">
        <v>239</v>
      </c>
      <c r="B7" s="4" t="s">
        <v>240</v>
      </c>
      <c r="C7" s="4" t="s">
        <v>241</v>
      </c>
      <c r="D7" s="2" t="s">
        <v>242</v>
      </c>
      <c r="E7" s="8"/>
      <c r="F7" s="8"/>
      <c r="G7" s="8"/>
      <c r="H7" s="8"/>
      <c r="I7" s="4"/>
      <c r="J7" s="4"/>
      <c r="K7" s="4"/>
      <c r="L7" s="4"/>
      <c r="M7" s="4"/>
    </row>
    <row r="8" customFormat="false" ht="18" hidden="false" customHeight="false" outlineLevel="0" collapsed="false">
      <c r="A8" s="4" t="s">
        <v>243</v>
      </c>
      <c r="B8" s="4" t="s">
        <v>244</v>
      </c>
      <c r="C8" s="2" t="s">
        <v>245</v>
      </c>
      <c r="D8" s="2" t="s">
        <v>246</v>
      </c>
      <c r="E8" s="8"/>
      <c r="F8" s="8"/>
      <c r="G8" s="8"/>
      <c r="H8" s="8"/>
      <c r="I8" s="4"/>
      <c r="J8" s="4"/>
      <c r="K8" s="4"/>
      <c r="L8" s="4"/>
      <c r="M8" s="4"/>
    </row>
    <row r="9" customFormat="false" ht="15" hidden="false" customHeight="false" outlineLevel="0" collapsed="false">
      <c r="A9" s="4"/>
      <c r="B9" s="4"/>
      <c r="C9" s="4"/>
      <c r="D9" s="4"/>
      <c r="E9" s="8"/>
      <c r="F9" s="8"/>
      <c r="G9" s="8"/>
      <c r="H9" s="8"/>
      <c r="I9" s="4"/>
      <c r="J9" s="4"/>
      <c r="K9" s="4"/>
      <c r="L9" s="4"/>
      <c r="M9" s="4"/>
    </row>
    <row r="10" customFormat="false" ht="15" hidden="false" customHeight="false" outlineLevel="0" collapsed="false">
      <c r="A10" s="4"/>
      <c r="B10" s="4"/>
      <c r="C10" s="4"/>
      <c r="D10" s="4"/>
      <c r="E10" s="8"/>
      <c r="F10" s="8"/>
      <c r="G10" s="8"/>
      <c r="H10" s="8"/>
      <c r="I10" s="4"/>
      <c r="J10" s="4"/>
      <c r="K10" s="4"/>
      <c r="L10" s="4"/>
      <c r="M10" s="4"/>
    </row>
    <row r="11" customFormat="false" ht="15" hidden="false" customHeight="false" outlineLevel="0" collapsed="false">
      <c r="A11" s="4"/>
      <c r="B11" s="4"/>
      <c r="C11" s="4"/>
      <c r="D11" s="4"/>
      <c r="E11" s="8"/>
      <c r="F11" s="8"/>
      <c r="G11" s="8"/>
      <c r="H11" s="8"/>
      <c r="I11" s="4"/>
      <c r="J11" s="4"/>
      <c r="K11" s="4"/>
      <c r="L11" s="4"/>
      <c r="M11" s="4"/>
    </row>
    <row r="12" customFormat="false" ht="15" hidden="false" customHeight="false" outlineLevel="0" collapsed="false">
      <c r="A12" s="4"/>
      <c r="B12" s="4"/>
      <c r="C12" s="4"/>
      <c r="D12" s="4"/>
      <c r="E12" s="8"/>
      <c r="F12" s="8"/>
      <c r="G12" s="8"/>
      <c r="H12" s="8"/>
      <c r="I12" s="4"/>
      <c r="J12" s="4"/>
      <c r="K12" s="4"/>
      <c r="L12" s="4"/>
      <c r="M12" s="4"/>
    </row>
    <row r="13" customFormat="false" ht="15" hidden="false" customHeight="false" outlineLevel="0" collapsed="false">
      <c r="A13" s="4"/>
      <c r="B13" s="4"/>
      <c r="C13" s="4"/>
      <c r="D13" s="4"/>
      <c r="E13" s="8"/>
      <c r="F13" s="8"/>
      <c r="G13" s="8"/>
      <c r="H13" s="8"/>
      <c r="I13" s="4"/>
      <c r="J13" s="4"/>
      <c r="K13" s="4"/>
      <c r="L13" s="4"/>
      <c r="M13" s="4"/>
    </row>
    <row r="14" customFormat="false" ht="15" hidden="false" customHeight="false" outlineLevel="0" collapsed="false">
      <c r="A14" s="4"/>
      <c r="B14" s="4"/>
      <c r="C14" s="4"/>
      <c r="D14" s="4"/>
      <c r="E14" s="8"/>
      <c r="F14" s="8"/>
      <c r="G14" s="8"/>
      <c r="H14" s="8"/>
      <c r="I14" s="4"/>
      <c r="J14" s="4"/>
      <c r="K14" s="4"/>
      <c r="L14" s="4"/>
      <c r="M14" s="4"/>
    </row>
    <row r="15" customFormat="false" ht="15" hidden="false" customHeight="false" outlineLevel="0" collapsed="false">
      <c r="A15" s="4"/>
      <c r="B15" s="4"/>
      <c r="C15" s="4"/>
      <c r="D15" s="4"/>
      <c r="E15" s="8"/>
      <c r="F15" s="8"/>
      <c r="G15" s="8"/>
      <c r="H15" s="8"/>
      <c r="I15" s="4"/>
      <c r="J15" s="4"/>
      <c r="K15" s="4"/>
      <c r="L15" s="4"/>
      <c r="M15" s="4"/>
    </row>
    <row r="16" customFormat="false" ht="15" hidden="false" customHeight="false" outlineLevel="0" collapsed="false">
      <c r="A16" s="4"/>
      <c r="B16" s="4"/>
      <c r="C16" s="4"/>
      <c r="D16" s="4"/>
      <c r="E16" s="8"/>
      <c r="F16" s="8"/>
      <c r="G16" s="8"/>
      <c r="H16" s="8"/>
      <c r="I16" s="4"/>
      <c r="J16" s="4"/>
      <c r="K16" s="4"/>
      <c r="L16" s="4"/>
      <c r="M16" s="4"/>
    </row>
  </sheetData>
  <dataValidations count="2">
    <dataValidation allowBlank="true" errorStyle="stop" operator="between" showDropDown="false" showErrorMessage="false" showInputMessage="false" sqref="E2:F16" type="list">
      <formula1>"是,否"</formula1>
      <formula2>0</formula2>
    </dataValidation>
    <dataValidation allowBlank="true" errorStyle="stop" operator="between" showDropDown="false" showErrorMessage="false" showInputMessage="false" sqref="G2:H16" type="list">
      <formula1>"L0,L1,L2,L3,L4"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30" hidden="false" customHeight="true" outlineLevel="0" collapsed="false">
      <c r="A1" s="1" t="s">
        <v>247</v>
      </c>
      <c r="B1" s="1" t="s">
        <v>248</v>
      </c>
      <c r="C1" s="1" t="s">
        <v>249</v>
      </c>
      <c r="D1" s="1" t="s">
        <v>4</v>
      </c>
      <c r="E1" s="1" t="s">
        <v>5</v>
      </c>
      <c r="F1" s="1" t="s">
        <v>250</v>
      </c>
      <c r="G1" s="1" t="s">
        <v>7</v>
      </c>
    </row>
    <row r="2" customFormat="false" ht="50" hidden="false" customHeight="false" outlineLevel="0" collapsed="false">
      <c r="A2" s="4" t="s">
        <v>251</v>
      </c>
      <c r="B2" s="2" t="s">
        <v>252</v>
      </c>
      <c r="C2" s="3" t="n">
        <v>0</v>
      </c>
      <c r="D2" s="4" t="s">
        <v>253</v>
      </c>
      <c r="E2" s="10" t="s">
        <v>20</v>
      </c>
      <c r="F2" s="4"/>
      <c r="G2" s="4" t="s">
        <v>254</v>
      </c>
    </row>
    <row r="3" customFormat="false" ht="18" hidden="false" customHeight="false" outlineLevel="0" collapsed="false">
      <c r="A3" s="4" t="s">
        <v>255</v>
      </c>
      <c r="B3" s="2" t="s">
        <v>256</v>
      </c>
      <c r="C3" s="3" t="n">
        <v>4</v>
      </c>
      <c r="D3" s="2" t="s">
        <v>257</v>
      </c>
      <c r="E3" s="10" t="s">
        <v>25</v>
      </c>
      <c r="F3" s="4"/>
      <c r="G3" s="4"/>
    </row>
    <row r="4" customFormat="false" ht="18" hidden="false" customHeight="false" outlineLevel="0" collapsed="false">
      <c r="A4" s="4" t="s">
        <v>258</v>
      </c>
      <c r="B4" s="2" t="s">
        <v>259</v>
      </c>
      <c r="C4" s="3" t="n">
        <v>8</v>
      </c>
      <c r="D4" s="4" t="s">
        <v>260</v>
      </c>
      <c r="E4" s="10" t="s">
        <v>25</v>
      </c>
      <c r="F4" s="4"/>
      <c r="G4" s="4"/>
    </row>
    <row r="5" customFormat="false" ht="18" hidden="false" customHeight="false" outlineLevel="0" collapsed="false">
      <c r="A5" s="4" t="s">
        <v>261</v>
      </c>
      <c r="B5" s="2" t="s">
        <v>262</v>
      </c>
      <c r="C5" s="3" t="n">
        <v>13</v>
      </c>
      <c r="D5" s="2" t="s">
        <v>263</v>
      </c>
      <c r="E5" s="10" t="s">
        <v>25</v>
      </c>
      <c r="F5" s="4"/>
      <c r="G5" s="4"/>
    </row>
    <row r="6" customFormat="false" ht="18" hidden="false" customHeight="false" outlineLevel="0" collapsed="false">
      <c r="A6" s="4" t="s">
        <v>264</v>
      </c>
      <c r="B6" s="2" t="s">
        <v>265</v>
      </c>
      <c r="C6" s="3" t="n">
        <v>14</v>
      </c>
      <c r="D6" s="2" t="s">
        <v>266</v>
      </c>
      <c r="E6" s="10" t="s">
        <v>25</v>
      </c>
      <c r="F6" s="4"/>
      <c r="G6" s="4"/>
    </row>
    <row r="7" customFormat="false" ht="18" hidden="false" customHeight="false" outlineLevel="0" collapsed="false">
      <c r="A7" s="4" t="s">
        <v>267</v>
      </c>
      <c r="B7" s="2" t="s">
        <v>268</v>
      </c>
      <c r="C7" s="3" t="n">
        <v>18</v>
      </c>
      <c r="D7" s="2" t="s">
        <v>269</v>
      </c>
      <c r="E7" s="10" t="s">
        <v>25</v>
      </c>
      <c r="F7" s="4"/>
      <c r="G7" s="4"/>
    </row>
    <row r="8" customFormat="false" ht="18" hidden="false" customHeight="false" outlineLevel="0" collapsed="false">
      <c r="A8" s="4" t="s">
        <v>270</v>
      </c>
      <c r="B8" s="2" t="s">
        <v>271</v>
      </c>
      <c r="C8" s="3" t="n">
        <v>22</v>
      </c>
      <c r="D8" s="2" t="s">
        <v>272</v>
      </c>
      <c r="E8" s="10" t="s">
        <v>25</v>
      </c>
      <c r="F8" s="4"/>
      <c r="G8" s="4"/>
    </row>
    <row r="9" customFormat="false" ht="18" hidden="false" customHeight="false" outlineLevel="0" collapsed="false">
      <c r="A9" s="4" t="s">
        <v>273</v>
      </c>
      <c r="B9" s="2" t="s">
        <v>274</v>
      </c>
      <c r="C9" s="3" t="n">
        <v>26</v>
      </c>
      <c r="D9" s="2" t="s">
        <v>275</v>
      </c>
      <c r="E9" s="10" t="s">
        <v>25</v>
      </c>
      <c r="F9" s="4"/>
      <c r="G9" s="4"/>
    </row>
    <row r="10" customFormat="false" ht="18" hidden="false" customHeight="false" outlineLevel="0" collapsed="false">
      <c r="A10" s="4" t="s">
        <v>276</v>
      </c>
      <c r="B10" s="2" t="s">
        <v>277</v>
      </c>
      <c r="C10" s="3" t="n">
        <v>36</v>
      </c>
      <c r="D10" s="2" t="s">
        <v>278</v>
      </c>
      <c r="E10" s="10" t="s">
        <v>25</v>
      </c>
      <c r="F10" s="4"/>
      <c r="G10" s="4"/>
    </row>
    <row r="11" customFormat="false" ht="18" hidden="false" customHeight="false" outlineLevel="0" collapsed="false">
      <c r="A11" s="4" t="s">
        <v>279</v>
      </c>
      <c r="B11" s="2" t="s">
        <v>280</v>
      </c>
      <c r="C11" s="3" t="n">
        <v>44</v>
      </c>
      <c r="D11" s="2" t="s">
        <v>281</v>
      </c>
      <c r="E11" s="10" t="s">
        <v>25</v>
      </c>
      <c r="F11" s="4"/>
      <c r="G11" s="4"/>
    </row>
    <row r="13" customFormat="false" ht="15" hidden="false" customHeight="false" outlineLevel="0" collapsed="false">
      <c r="A13" s="11" t="s">
        <v>282</v>
      </c>
    </row>
    <row r="14" customFormat="false" ht="15" hidden="false" customHeight="false" outlineLevel="0" collapsed="false">
      <c r="A14" s="12" t="s">
        <v>13</v>
      </c>
      <c r="B14" s="0" t="n">
        <f aca="false">COUNTIF($E$2:$E$11,"已完成")</f>
        <v>0</v>
      </c>
    </row>
    <row r="15" customFormat="false" ht="15.5" hidden="false" customHeight="false" outlineLevel="0" collapsed="false">
      <c r="A15" s="12" t="s">
        <v>283</v>
      </c>
      <c r="B15" s="0" t="n">
        <f aca="false">COUNTIF($E$2:$E$11,"已完成")+COUNTIF($E$2:$E$11,"进行中")</f>
        <v>1</v>
      </c>
    </row>
    <row r="16" customFormat="false" ht="15" hidden="false" customHeight="false" outlineLevel="0" collapsed="false">
      <c r="A16" s="12" t="s">
        <v>284</v>
      </c>
      <c r="B16" s="0" t="n">
        <f aca="false">COUNTIF($E$2:$E$11,"延期")</f>
        <v>0</v>
      </c>
    </row>
    <row r="17" customFormat="false" ht="15" hidden="false" customHeight="false" outlineLevel="0" collapsed="false">
      <c r="A17" s="12" t="s">
        <v>285</v>
      </c>
      <c r="B17" s="13" t="n">
        <f aca="false">IF(COUNTA($E$2:$E$11)=0,0,COUNTIF($E$2:$E$11,"已完成")/COUNTA($E$2:$E$11))</f>
        <v>0</v>
      </c>
    </row>
  </sheetData>
  <dataValidations count="1">
    <dataValidation allowBlank="true" errorStyle="stop" operator="between" showDropDown="false" showErrorMessage="false" showInputMessage="false" sqref="E2:E11" type="list">
      <formula1>"未开始,进行中,已完成,延期"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7</v>
      </c>
    </row>
    <row r="2" customFormat="false" ht="18" hidden="false" customHeight="false" outlineLevel="0" collapsed="false">
      <c r="A2" s="2" t="s">
        <v>292</v>
      </c>
      <c r="B2" s="2" t="s">
        <v>293</v>
      </c>
      <c r="C2" s="2" t="s">
        <v>294</v>
      </c>
      <c r="D2" s="2" t="s">
        <v>295</v>
      </c>
      <c r="E2" s="3" t="s">
        <v>296</v>
      </c>
      <c r="F2" s="8"/>
      <c r="G2" s="4"/>
    </row>
    <row r="3" customFormat="false" ht="18" hidden="false" customHeight="false" outlineLevel="0" collapsed="false">
      <c r="A3" s="4" t="s">
        <v>297</v>
      </c>
      <c r="B3" s="2" t="s">
        <v>298</v>
      </c>
      <c r="C3" s="2" t="s">
        <v>299</v>
      </c>
      <c r="D3" s="2" t="s">
        <v>295</v>
      </c>
      <c r="E3" s="3" t="s">
        <v>296</v>
      </c>
      <c r="F3" s="8"/>
      <c r="G3" s="4"/>
    </row>
    <row r="4" customFormat="false" ht="18" hidden="false" customHeight="false" outlineLevel="0" collapsed="false">
      <c r="A4" s="4" t="s">
        <v>300</v>
      </c>
      <c r="B4" s="2" t="s">
        <v>301</v>
      </c>
      <c r="C4" s="2" t="s">
        <v>302</v>
      </c>
      <c r="D4" s="2" t="s">
        <v>303</v>
      </c>
      <c r="E4" s="3" t="s">
        <v>296</v>
      </c>
      <c r="F4" s="2" t="s">
        <v>304</v>
      </c>
      <c r="G4" s="4"/>
    </row>
    <row r="5" customFormat="false" ht="34" hidden="false" customHeight="false" outlineLevel="0" collapsed="false">
      <c r="A5" s="4" t="s">
        <v>305</v>
      </c>
      <c r="B5" s="2" t="s">
        <v>306</v>
      </c>
      <c r="C5" s="2" t="s">
        <v>307</v>
      </c>
      <c r="D5" s="2" t="s">
        <v>308</v>
      </c>
      <c r="E5" s="3" t="s">
        <v>296</v>
      </c>
      <c r="F5" s="2" t="s">
        <v>304</v>
      </c>
      <c r="G5" s="2" t="s">
        <v>309</v>
      </c>
    </row>
    <row r="6" customFormat="false" ht="18" hidden="false" customHeight="false" outlineLevel="0" collapsed="false">
      <c r="A6" s="4" t="s">
        <v>310</v>
      </c>
      <c r="B6" s="2" t="s">
        <v>311</v>
      </c>
      <c r="C6" s="2" t="s">
        <v>312</v>
      </c>
      <c r="D6" s="2" t="s">
        <v>313</v>
      </c>
      <c r="E6" s="3" t="s">
        <v>314</v>
      </c>
      <c r="F6" s="8"/>
      <c r="G6" s="4"/>
    </row>
    <row r="7" customFormat="false" ht="18" hidden="false" customHeight="false" outlineLevel="0" collapsed="false">
      <c r="A7" s="4" t="s">
        <v>315</v>
      </c>
      <c r="B7" s="2" t="s">
        <v>316</v>
      </c>
      <c r="C7" s="2" t="s">
        <v>317</v>
      </c>
      <c r="D7" s="2" t="s">
        <v>318</v>
      </c>
      <c r="E7" s="3" t="s">
        <v>296</v>
      </c>
      <c r="F7" s="8"/>
      <c r="G7" s="4"/>
    </row>
    <row r="8" customFormat="false" ht="18" hidden="false" customHeight="false" outlineLevel="0" collapsed="false">
      <c r="A8" s="4" t="s">
        <v>319</v>
      </c>
      <c r="B8" s="2" t="s">
        <v>306</v>
      </c>
      <c r="C8" s="2" t="s">
        <v>320</v>
      </c>
      <c r="D8" s="2" t="s">
        <v>321</v>
      </c>
      <c r="E8" s="3" t="s">
        <v>296</v>
      </c>
      <c r="F8" s="8"/>
      <c r="G8" s="4"/>
    </row>
    <row r="9" customFormat="false" ht="18" hidden="false" customHeight="false" outlineLevel="0" collapsed="false">
      <c r="A9" s="4" t="s">
        <v>322</v>
      </c>
      <c r="B9" s="2" t="s">
        <v>306</v>
      </c>
      <c r="C9" s="2" t="s">
        <v>323</v>
      </c>
      <c r="D9" s="2" t="s">
        <v>324</v>
      </c>
      <c r="E9" s="3" t="s">
        <v>314</v>
      </c>
      <c r="F9" s="8"/>
      <c r="G9" s="4"/>
    </row>
    <row r="10" customFormat="false" ht="18" hidden="false" customHeight="false" outlineLevel="0" collapsed="false">
      <c r="A10" s="4" t="s">
        <v>325</v>
      </c>
      <c r="B10" s="2" t="s">
        <v>326</v>
      </c>
      <c r="C10" s="2" t="s">
        <v>327</v>
      </c>
      <c r="D10" s="2" t="s">
        <v>328</v>
      </c>
      <c r="E10" s="3" t="s">
        <v>296</v>
      </c>
      <c r="F10" s="8"/>
      <c r="G10" s="4"/>
    </row>
    <row r="11" customFormat="false" ht="18" hidden="false" customHeight="false" outlineLevel="0" collapsed="false">
      <c r="A11" s="4" t="s">
        <v>329</v>
      </c>
      <c r="B11" s="2" t="s">
        <v>330</v>
      </c>
      <c r="C11" s="2" t="s">
        <v>331</v>
      </c>
      <c r="D11" s="2" t="s">
        <v>332</v>
      </c>
      <c r="E11" s="3" t="s">
        <v>314</v>
      </c>
      <c r="F11" s="8"/>
      <c r="G11" s="4"/>
    </row>
    <row r="12" customFormat="false" ht="18" hidden="false" customHeight="false" outlineLevel="0" collapsed="false">
      <c r="A12" s="4" t="s">
        <v>333</v>
      </c>
      <c r="B12" s="2" t="s">
        <v>306</v>
      </c>
      <c r="C12" s="2" t="s">
        <v>334</v>
      </c>
      <c r="D12" s="2" t="s">
        <v>335</v>
      </c>
      <c r="E12" s="3" t="s">
        <v>314</v>
      </c>
      <c r="F12" s="8"/>
      <c r="G12" s="4"/>
    </row>
    <row r="13" customFormat="false" ht="18" hidden="false" customHeight="false" outlineLevel="0" collapsed="false">
      <c r="A13" s="4" t="s">
        <v>336</v>
      </c>
      <c r="B13" s="2" t="s">
        <v>301</v>
      </c>
      <c r="C13" s="2" t="s">
        <v>337</v>
      </c>
      <c r="D13" s="2" t="s">
        <v>332</v>
      </c>
      <c r="E13" s="3" t="s">
        <v>314</v>
      </c>
      <c r="F13" s="8"/>
      <c r="G13" s="4"/>
    </row>
    <row r="14" customFormat="false" ht="15" hidden="false" customHeight="false" outlineLevel="0" collapsed="false">
      <c r="A14" s="4"/>
      <c r="B14" s="4"/>
      <c r="C14" s="4"/>
      <c r="D14" s="4"/>
      <c r="E14" s="3"/>
      <c r="F14" s="8"/>
      <c r="G14" s="4"/>
    </row>
    <row r="15" customFormat="false" ht="15" hidden="false" customHeight="false" outlineLevel="0" collapsed="false">
      <c r="A15" s="4"/>
      <c r="B15" s="4"/>
      <c r="C15" s="4"/>
      <c r="D15" s="4"/>
      <c r="E15" s="3"/>
      <c r="F15" s="8"/>
      <c r="G15" s="4"/>
    </row>
    <row r="16" customFormat="false" ht="15" hidden="false" customHeight="false" outlineLevel="0" collapsed="false">
      <c r="A16" s="4"/>
      <c r="B16" s="4"/>
      <c r="C16" s="4"/>
      <c r="D16" s="4"/>
      <c r="E16" s="3"/>
      <c r="F16" s="8"/>
      <c r="G16" s="4"/>
    </row>
    <row r="17" customFormat="false" ht="15" hidden="false" customHeight="false" outlineLevel="0" collapsed="false">
      <c r="A17" s="4"/>
      <c r="B17" s="4"/>
      <c r="C17" s="4"/>
      <c r="D17" s="4"/>
      <c r="E17" s="3"/>
      <c r="F17" s="8"/>
      <c r="G17" s="4"/>
    </row>
    <row r="18" customFormat="false" ht="15" hidden="false" customHeight="false" outlineLevel="0" collapsed="false">
      <c r="A18" s="4"/>
      <c r="B18" s="4"/>
      <c r="C18" s="4"/>
      <c r="D18" s="4"/>
      <c r="E18" s="3"/>
      <c r="F18" s="8"/>
      <c r="G18" s="4"/>
    </row>
    <row r="19" customFormat="false" ht="15" hidden="false" customHeight="false" outlineLevel="0" collapsed="false">
      <c r="A19" s="4"/>
      <c r="B19" s="4"/>
      <c r="C19" s="4"/>
      <c r="D19" s="4"/>
      <c r="E19" s="3"/>
      <c r="F19" s="8"/>
      <c r="G19" s="4"/>
    </row>
  </sheetData>
  <dataValidations count="1">
    <dataValidation allowBlank="true" errorStyle="stop" operator="between" showDropDown="false" showErrorMessage="false" showInputMessage="false" sqref="F2:F19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2026-10-11T04:52:45Z</dcterms:created>
  <dc:creator>openpyxl</dc:creator>
  <dc:description/>
  <dc:language>en-US</dc:language>
  <cp:lastModifiedBy/>
  <dcterms:modified xsi:type="dcterms:W3CDTF">2026-10-11T19:18:23Z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